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813E797A-C5C8-4BE0-9AF5-E6F8439A28EB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原始数据" sheetId="1" r:id="rId1"/>
    <sheet name="2022年度数据" sheetId="2" r:id="rId2"/>
    <sheet name="42部门能源消费数据" sheetId="3" r:id="rId3"/>
    <sheet name="2022E" sheetId="5" r:id="rId4"/>
    <sheet name="2020居民消费支出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2" i="5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29" i="3"/>
  <c r="F32" i="4"/>
  <c r="F33" i="4"/>
  <c r="F34" i="4"/>
  <c r="F35" i="4"/>
  <c r="F36" i="4"/>
  <c r="F37" i="4"/>
  <c r="F38" i="4"/>
  <c r="F39" i="4"/>
  <c r="F40" i="4"/>
  <c r="F41" i="4"/>
  <c r="F42" i="4"/>
  <c r="F31" i="4"/>
  <c r="F27" i="4"/>
  <c r="D30" i="4"/>
  <c r="D28" i="4"/>
  <c r="D27" i="4"/>
  <c r="B39" i="1"/>
  <c r="B43" i="1"/>
  <c r="B49" i="1"/>
  <c r="B55" i="1" l="1"/>
  <c r="B33" i="1"/>
  <c r="B29" i="1"/>
  <c r="B26" i="1"/>
  <c r="B22" i="1"/>
  <c r="B16" i="1"/>
  <c r="B12" i="1"/>
</calcChain>
</file>

<file path=xl/sharedStrings.xml><?xml version="1.0" encoding="utf-8"?>
<sst xmlns="http://schemas.openxmlformats.org/spreadsheetml/2006/main" count="309" uniqueCount="149">
  <si>
    <t>数据库：年度数据</t>
  </si>
  <si>
    <t>时间：</t>
  </si>
  <si>
    <t>指标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</si>
  <si>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</si>
  <si>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</si>
  <si>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</si>
  <si>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</si>
  <si>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</si>
  <si>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</si>
  <si>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</si>
  <si>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石油和天然气开采业能源消费总量 (万吨标准煤) </t>
  </si>
  <si>
    <t xml:space="preserve">黑色金属矿采选业能源消费总量 (万吨标准煤) </t>
  </si>
  <si>
    <t xml:space="preserve">有色金属矿采选业能源消费总量 (万吨标准煤) </t>
  </si>
  <si>
    <t xml:space="preserve">非金属矿采选业能源消费总量 (万吨标准煤) </t>
  </si>
  <si>
    <t xml:space="preserve">开采专业及辅助性活动能源消费总量 (万吨标准煤) </t>
  </si>
  <si>
    <t xml:space="preserve">其他采矿业能源消费总量 (万吨标准煤) </t>
  </si>
  <si>
    <t xml:space="preserve">农副食品加工业能源消费总量 (万吨标准煤) </t>
  </si>
  <si>
    <t xml:space="preserve">食品制造业能源消费总量 (万吨标准煤) </t>
  </si>
  <si>
    <t xml:space="preserve">酒、饮料和精制茶制造业能源消费总量 (万吨标准煤) </t>
  </si>
  <si>
    <t xml:space="preserve">烟草制品业能源消费总量 (万吨标准煤) </t>
  </si>
  <si>
    <t xml:space="preserve">纺织业能源消费总量 (万吨标准煤) </t>
  </si>
  <si>
    <t xml:space="preserve">纺织服装、服饰业能源消费总量 (万吨标准煤) </t>
  </si>
  <si>
    <t xml:space="preserve">皮革、毛皮、羽毛及其制品和制鞋业能源消费总量 (万吨标准煤) </t>
  </si>
  <si>
    <t xml:space="preserve">木材加工及木、竹、藤、棕、草制品业能源消费总量 (万吨标准煤) </t>
  </si>
  <si>
    <t xml:space="preserve">家具制造业能源消费总量 (万吨标准煤) </t>
  </si>
  <si>
    <t xml:space="preserve">造纸及纸制品业能源消费总量 (万吨标准煤) </t>
  </si>
  <si>
    <t xml:space="preserve">印刷和记录媒介复制业能源消费总量 (万吨标准煤) </t>
  </si>
  <si>
    <t xml:space="preserve">文教、工美、体育和娱乐用品制造业能源消费总量 (万吨标准煤) </t>
  </si>
  <si>
    <t xml:space="preserve">化学原料及化学制品制造业能源消费总量 (万吨标准煤) </t>
  </si>
  <si>
    <t xml:space="preserve">医药制造业能源消费总量 (万吨标准煤) </t>
  </si>
  <si>
    <t xml:space="preserve">化学纤维制造业能源消费总量 (万吨标准煤) </t>
  </si>
  <si>
    <t xml:space="preserve">橡胶和塑料制品业能源消费总量 (万吨标准煤) </t>
  </si>
  <si>
    <t xml:space="preserve">黑色金属冶炼及压延加工业能源消费总量 (万吨标准煤) </t>
  </si>
  <si>
    <t xml:space="preserve">有色金属冶炼及压延加工业能源消费总量 (万吨标准煤) </t>
  </si>
  <si>
    <t xml:space="preserve">汽车制造业能源消费总量 (万吨标准煤) </t>
  </si>
  <si>
    <t xml:space="preserve">铁路、船舶、航空航天和其他运输设备制造业能源消费总量 (万吨标准煤) </t>
  </si>
  <si>
    <t xml:space="preserve">其他制造业能源消费总量 (万吨标准煤) </t>
  </si>
  <si>
    <t xml:space="preserve">废弃资源综合利用业能源消费总量 (万吨标准煤) </t>
  </si>
  <si>
    <t xml:space="preserve">居民生活能源消费总量 (万吨标准煤) </t>
  </si>
  <si>
    <t>数据来源：国家统计局</t>
  </si>
  <si>
    <t>农、林、牧、渔业能源消费总量(万吨标准煤)</t>
  </si>
  <si>
    <t>煤炭开采和洗选业能源消费总量(万吨标准煤)</t>
  </si>
  <si>
    <t>金属矿采选产品</t>
    <phoneticPr fontId="6" type="noConversion"/>
  </si>
  <si>
    <t>非金属矿和其他矿采选产品</t>
    <phoneticPr fontId="6" type="noConversion"/>
  </si>
  <si>
    <t>食品和烟草</t>
    <phoneticPr fontId="6" type="noConversion"/>
  </si>
  <si>
    <t>纺织服装鞋帽皮革羽绒及其制品</t>
    <phoneticPr fontId="6" type="noConversion"/>
  </si>
  <si>
    <t>木材加工品和家具</t>
    <phoneticPr fontId="6" type="noConversion"/>
  </si>
  <si>
    <t>石油、煤炭及其他燃料加工业能源消费总量(万吨标准煤)</t>
  </si>
  <si>
    <t>化学产品</t>
    <phoneticPr fontId="6" type="noConversion"/>
  </si>
  <si>
    <t xml:space="preserve">采矿业能源消费总量 (万吨标准煤)去除 </t>
    <phoneticPr fontId="4" type="noConversion"/>
  </si>
  <si>
    <t>工业能源消费总量 (万吨标准煤) 去除</t>
    <phoneticPr fontId="4" type="noConversion"/>
  </si>
  <si>
    <t>能源消费总量 (万吨标准煤) 去除</t>
    <phoneticPr fontId="4" type="noConversion"/>
  </si>
  <si>
    <t xml:space="preserve">制造业能源消费总量 (万吨标准煤)去除 </t>
    <phoneticPr fontId="4" type="noConversion"/>
  </si>
  <si>
    <t>电力、热力的生产和供应业能源消费总量(万吨标准煤)</t>
  </si>
  <si>
    <t>燃气生产和供应业能源消费总量(万吨标准煤)</t>
  </si>
  <si>
    <t>水的生产和供应业能源消费总量(万吨标准煤)</t>
  </si>
  <si>
    <t>建筑业能源消费总量(万吨标准煤)</t>
  </si>
  <si>
    <t>电力、热力、燃气及水生产和供应业能源消费总量 (万吨标准煤) 去除</t>
    <phoneticPr fontId="4" type="noConversion"/>
  </si>
  <si>
    <t>交通运输、仓储和邮政业能源消费总量(万吨标准煤)</t>
  </si>
  <si>
    <r>
      <rPr>
        <sz val="10"/>
        <rFont val="微软雅黑"/>
        <family val="2"/>
        <charset val="134"/>
      </rPr>
      <t>批发和零售业、住宿和餐饮业能源消费总量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万吨标准煤</t>
    </r>
    <r>
      <rPr>
        <sz val="10"/>
        <rFont val="Arial"/>
        <family val="2"/>
      </rPr>
      <t>)</t>
    </r>
    <phoneticPr fontId="6" type="noConversion"/>
  </si>
  <si>
    <t>其他能源消费总量(万吨标准煤)</t>
  </si>
  <si>
    <t>其他制造产品和废品废料</t>
    <phoneticPr fontId="4" type="noConversion"/>
  </si>
  <si>
    <t>金属制品、机械和设备修理服务</t>
  </si>
  <si>
    <t>仪器仪表</t>
  </si>
  <si>
    <t>通信设备、计算机和其他电子设备</t>
  </si>
  <si>
    <t>电气机械和器材</t>
  </si>
  <si>
    <t>交通运输设备</t>
  </si>
  <si>
    <t>通用设备</t>
    <phoneticPr fontId="4" type="noConversion"/>
  </si>
  <si>
    <t>专用设备</t>
    <phoneticPr fontId="4" type="noConversion"/>
  </si>
  <si>
    <t>金属冶炼和压延加工品</t>
  </si>
  <si>
    <t>金属制品</t>
  </si>
  <si>
    <t>非金属矿物制品</t>
  </si>
  <si>
    <t>造纸印刷和文教体育用品</t>
  </si>
  <si>
    <t>金属矿采选产品</t>
  </si>
  <si>
    <t>非金属矿和其他矿采选产品</t>
  </si>
  <si>
    <t>食品和烟草</t>
  </si>
  <si>
    <t>纺织服装鞋帽皮革羽绒及其制品</t>
  </si>
  <si>
    <t>木材加工品和家具</t>
  </si>
  <si>
    <t>化学产品</t>
  </si>
  <si>
    <t>通用设备</t>
  </si>
  <si>
    <t>其他制造产品和废品废料</t>
  </si>
  <si>
    <t>石油和天然气开采业能源消费总量(万吨标准煤)</t>
  </si>
  <si>
    <t>纺织业能源消费总量(万吨标准煤)</t>
  </si>
  <si>
    <t>非金属矿物制品业能源消费总量(万吨标准煤)</t>
  </si>
  <si>
    <t>金属制品业能源消费总量(万吨标准煤)</t>
  </si>
  <si>
    <t>通用设备制造业能源消费总量(万吨标准煤)</t>
  </si>
  <si>
    <t>专用设备制造业能源消费总量(万吨标准煤)</t>
  </si>
  <si>
    <t>电气机械及器材制造业能源消费总量(万吨标准煤)</t>
  </si>
  <si>
    <t>计算机、通信和其他电子设备制造业能源消费总量(万吨标准煤)（对应通信设备、计算机和其他电子产品）</t>
  </si>
  <si>
    <t>仪器仪表制造业能源消费总量(万吨标准煤)</t>
  </si>
  <si>
    <t>其他制造产品和废料废品</t>
  </si>
  <si>
    <t>金属制品、机械和设备修理业能源消费总量(万吨标准煤)</t>
  </si>
  <si>
    <r>
      <rPr>
        <sz val="10"/>
        <rFont val="微软雅黑"/>
        <family val="2"/>
        <charset val="134"/>
      </rPr>
      <t>水的生产和供应业能源消费总量</t>
    </r>
    <r>
      <rPr>
        <sz val="11"/>
        <color theme="1"/>
        <rFont val="宋体"/>
        <family val="2"/>
        <scheme val="minor"/>
      </rPr>
      <t>(</t>
    </r>
    <r>
      <rPr>
        <sz val="10"/>
        <rFont val="微软雅黑"/>
        <family val="2"/>
        <charset val="134"/>
      </rPr>
      <t>万吨标准煤</t>
    </r>
    <r>
      <rPr>
        <sz val="11"/>
        <color theme="1"/>
        <rFont val="宋体"/>
        <family val="2"/>
        <scheme val="minor"/>
      </rPr>
      <t>)</t>
    </r>
    <phoneticPr fontId="6" type="noConversion"/>
  </si>
  <si>
    <t>批发和零售</t>
    <phoneticPr fontId="6" type="noConversion"/>
  </si>
  <si>
    <t>住宿和餐饮</t>
    <phoneticPr fontId="6" type="noConversion"/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</si>
  <si>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</si>
  <si>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</si>
  <si>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</si>
  <si>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</si>
  <si>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</si>
  <si>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</si>
  <si>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</si>
  <si>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</si>
  <si>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</si>
  <si>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</si>
  <si>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</si>
  <si>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</si>
  <si>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煤炭开采和洗选产品</t>
  </si>
  <si>
    <t>燃气生产和供应</t>
  </si>
  <si>
    <t>水的生产和供应</t>
  </si>
  <si>
    <t>农林牧渔产品及服务</t>
    <phoneticPr fontId="4" type="noConversion"/>
  </si>
  <si>
    <t>煤炭开采和洗选产品</t>
    <phoneticPr fontId="4" type="noConversion"/>
  </si>
  <si>
    <t>石油和天然气开采产品</t>
  </si>
  <si>
    <t>金属矿采选产品</t>
    <phoneticPr fontId="4" type="noConversion"/>
  </si>
  <si>
    <t>非金属矿和其他矿采选产品</t>
    <phoneticPr fontId="4" type="noConversion"/>
  </si>
  <si>
    <t>食品和烟草</t>
    <phoneticPr fontId="4" type="noConversion"/>
  </si>
  <si>
    <t>纺织品</t>
    <phoneticPr fontId="4" type="noConversion"/>
  </si>
  <si>
    <t>石油、炼焦产品和核燃料加工品</t>
  </si>
  <si>
    <t>非金属矿物制品</t>
    <phoneticPr fontId="4" type="noConversion"/>
  </si>
  <si>
    <t>交通运输设备</t>
    <phoneticPr fontId="4" type="noConversion"/>
  </si>
  <si>
    <t>电力、热力生产和供应</t>
  </si>
  <si>
    <t>建筑</t>
  </si>
  <si>
    <t>批发和零售</t>
  </si>
  <si>
    <t>交通运输、仓储和邮政</t>
  </si>
  <si>
    <t>住宿和餐饮</t>
  </si>
  <si>
    <t>卫生和社会工作</t>
    <phoneticPr fontId="4" type="noConversion"/>
  </si>
  <si>
    <t>批发、零售、住宿、餐饮</t>
    <phoneticPr fontId="6" type="noConversion"/>
  </si>
  <si>
    <t>其他</t>
    <phoneticPr fontId="6" type="noConversion"/>
  </si>
  <si>
    <t>指标</t>
    <phoneticPr fontId="6" type="noConversion"/>
  </si>
  <si>
    <t>部门</t>
    <phoneticPr fontId="6" type="noConversion"/>
  </si>
  <si>
    <t>农林牧渔产品及服务</t>
    <phoneticPr fontId="13" type="noConversion"/>
  </si>
  <si>
    <t>农林牧渔产品和服务</t>
  </si>
  <si>
    <t>煤炭采选产品</t>
  </si>
  <si>
    <t>金属矿采选产品</t>
    <phoneticPr fontId="13" type="noConversion"/>
  </si>
  <si>
    <t>非金属矿和其他矿采选产品</t>
    <phoneticPr fontId="13" type="noConversion"/>
  </si>
  <si>
    <t>食品和烟草</t>
    <phoneticPr fontId="13" type="noConversion"/>
  </si>
  <si>
    <t>纺织品</t>
    <phoneticPr fontId="13" type="noConversion"/>
  </si>
  <si>
    <t>纺织品</t>
  </si>
  <si>
    <t>石油、炼焦产品和核燃料加工品（一部分给交通通信、一部分作为燃料给居住）</t>
    <phoneticPr fontId="13" type="noConversion"/>
  </si>
  <si>
    <t>化学产品</t>
    <phoneticPr fontId="13" type="noConversion"/>
  </si>
  <si>
    <t>化学产品（一部分给家庭设备用品，一部分给医疗保健）</t>
    <phoneticPr fontId="13" type="noConversion"/>
  </si>
  <si>
    <t>通用设备</t>
    <phoneticPr fontId="13" type="noConversion"/>
  </si>
  <si>
    <t>专用设备</t>
    <phoneticPr fontId="13" type="noConversion"/>
  </si>
  <si>
    <t>其他制造产品和废品废料</t>
    <phoneticPr fontId="13" type="noConversion"/>
  </si>
  <si>
    <t>电力、热力的生产和供应</t>
  </si>
  <si>
    <t>信息传输、软件和信息技术服务</t>
    <phoneticPr fontId="13" type="noConversion"/>
  </si>
  <si>
    <r>
      <t>E</t>
    </r>
    <r>
      <rPr>
        <sz val="10"/>
        <rFont val="等线"/>
        <family val="3"/>
        <charset val="134"/>
      </rPr>
      <t>（单位产出能源消耗强度）（吨</t>
    </r>
    <r>
      <rPr>
        <sz val="10"/>
        <rFont val="等线"/>
        <family val="3"/>
        <charset val="134"/>
      </rPr>
      <t>标准煤</t>
    </r>
    <r>
      <rPr>
        <sz val="10"/>
        <rFont val="等线"/>
        <family val="3"/>
        <charset val="134"/>
      </rPr>
      <t>/万元）</t>
    </r>
    <phoneticPr fontId="6" type="noConversion"/>
  </si>
  <si>
    <r>
      <t>2022</t>
    </r>
    <r>
      <rPr>
        <sz val="10"/>
        <rFont val="宋体"/>
        <family val="2"/>
        <charset val="134"/>
      </rPr>
      <t>年</t>
    </r>
    <r>
      <rPr>
        <sz val="10"/>
        <rFont val="宋体"/>
        <family val="3"/>
        <charset val="134"/>
      </rPr>
      <t>能源消费量（万吨标准煤）</t>
    </r>
    <phoneticPr fontId="6" type="noConversion"/>
  </si>
  <si>
    <r>
      <t>2022</t>
    </r>
    <r>
      <rPr>
        <sz val="10"/>
        <rFont val="宋体"/>
        <family val="3"/>
        <charset val="134"/>
      </rPr>
      <t>年总产出</t>
    </r>
    <r>
      <rPr>
        <sz val="10"/>
        <rFont val="等线"/>
        <family val="3"/>
        <charset val="134"/>
      </rPr>
      <t>（万元）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</si>
</sst>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name val="等线"/>
      <family val="3"/>
      <charset val="134"/>
    </font>
    <font>
      <sz val="10"/>
      <name val="等线"/>
      <family val="3"/>
      <charset val="134"/>
    </font>
    <font>
      <sz val="10"/>
      <name val="宋体"/>
      <family val="2"/>
      <charset val="134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11" fillId="0" borderId="0"/>
    <xf numFmtId="0" fontId="3" fillId="2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4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/>
    </xf>
    <xf numFmtId="0" fontId="2" fillId="0" borderId="0" xfId="0" applyNumberFormat="1" applyFont="1" applyAlignment="1">
      <alignment horizontal="right" vertical="center" wrapText="1"/>
    </xf>
    <xf numFmtId="0" fontId="5" fillId="3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0" fillId="9" borderId="1" xfId="2" applyFont="1" applyFill="1" applyBorder="1" applyAlignment="1">
      <alignment vertical="center" wrapText="1"/>
    </xf>
    <xf numFmtId="0" fontId="10" fillId="9" borderId="1" xfId="2" applyFont="1" applyFill="1" applyBorder="1">
      <alignment vertical="center"/>
    </xf>
    <xf numFmtId="0" fontId="10" fillId="7" borderId="1" xfId="2" applyFont="1" applyFill="1" applyBorder="1">
      <alignment vertical="center"/>
    </xf>
    <xf numFmtId="0" fontId="10" fillId="8" borderId="1" xfId="2" applyFont="1" applyFill="1" applyBorder="1">
      <alignment vertical="center"/>
    </xf>
    <xf numFmtId="0" fontId="10" fillId="6" borderId="1" xfId="2" applyFont="1" applyFill="1" applyBorder="1">
      <alignment vertical="center"/>
    </xf>
    <xf numFmtId="0" fontId="10" fillId="4" borderId="1" xfId="2" applyFont="1" applyFill="1" applyBorder="1">
      <alignment vertical="center"/>
    </xf>
    <xf numFmtId="0" fontId="2" fillId="10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8" fillId="0" borderId="0" xfId="0" applyFont="1"/>
    <xf numFmtId="0" fontId="5" fillId="0" borderId="0" xfId="0" applyFont="1"/>
    <xf numFmtId="0" fontId="3" fillId="11" borderId="4" xfId="1" applyFill="1" applyBorder="1" applyAlignment="1">
      <alignment horizontal="justify" vertical="center" wrapText="1"/>
    </xf>
    <xf numFmtId="1" fontId="10" fillId="11" borderId="5" xfId="3" applyNumberFormat="1" applyFont="1" applyFill="1" applyBorder="1" applyAlignment="1">
      <alignment horizontal="right" vertical="center"/>
    </xf>
    <xf numFmtId="0" fontId="3" fillId="2" borderId="4" xfId="1" applyBorder="1" applyAlignment="1">
      <alignment horizontal="justify" vertical="center" wrapText="1"/>
    </xf>
    <xf numFmtId="1" fontId="12" fillId="11" borderId="5" xfId="3" applyNumberFormat="1" applyFont="1" applyFill="1" applyBorder="1" applyAlignment="1">
      <alignment horizontal="right" vertical="center"/>
    </xf>
    <xf numFmtId="0" fontId="3" fillId="2" borderId="4" xfId="4" applyBorder="1" applyAlignment="1">
      <alignment horizontal="justify" vertical="center" wrapText="1"/>
    </xf>
    <xf numFmtId="0" fontId="3" fillId="2" borderId="2" xfId="4" applyBorder="1" applyAlignment="1">
      <alignment horizontal="justify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10" fillId="3" borderId="1" xfId="2" applyFont="1" applyFill="1" applyBorder="1">
      <alignment vertical="center"/>
    </xf>
    <xf numFmtId="0" fontId="10" fillId="5" borderId="1" xfId="2" applyFont="1" applyFill="1" applyBorder="1">
      <alignment vertical="center"/>
    </xf>
    <xf numFmtId="0" fontId="10" fillId="8" borderId="1" xfId="2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vertical="center" wrapText="1"/>
    </xf>
    <xf numFmtId="0" fontId="10" fillId="12" borderId="1" xfId="2" applyFont="1" applyFill="1" applyBorder="1">
      <alignment vertical="center"/>
    </xf>
    <xf numFmtId="0" fontId="3" fillId="2" borderId="2" xfId="1" applyBorder="1" applyAlignment="1">
      <alignment horizontal="justify" vertical="center" wrapText="1"/>
    </xf>
    <xf numFmtId="0" fontId="10" fillId="9" borderId="7" xfId="2" applyFont="1" applyFill="1" applyBorder="1">
      <alignment vertical="center"/>
    </xf>
    <xf numFmtId="0" fontId="0" fillId="0" borderId="0" xfId="0" applyAlignment="1">
      <alignment horizontal="center" vertical="center" wrapText="1"/>
    </xf>
    <xf numFmtId="176" fontId="16" fillId="0" borderId="3" xfId="5" applyNumberFormat="1" applyFont="1" applyBorder="1" applyAlignment="1">
      <alignment horizontal="right" vertical="center"/>
    </xf>
    <xf numFmtId="176" fontId="16" fillId="0" borderId="6" xfId="5" applyNumberFormat="1" applyFont="1" applyBorder="1" applyAlignment="1">
      <alignment horizontal="right" vertical="center"/>
    </xf>
  </cellXfs>
  <cellStyles count="6">
    <cellStyle name="常规" xfId="0" builtinId="0"/>
    <cellStyle name="常规 2" xfId="5" xr:uid="{02ED44B1-D9E6-4D9B-8AC4-BD12AC671C53}"/>
    <cellStyle name="常规 4" xfId="2" xr:uid="{B23A244B-44C3-4DF0-8AD1-D5E9776403F7}"/>
    <cellStyle name="常规 5" xfId="3" xr:uid="{C17C17D8-11D8-4F38-86C3-E3434A93AF98}"/>
    <cellStyle name="着色 1" xfId="1" builtinId="29"/>
    <cellStyle name="着色 1 2" xfId="4" xr:uid="{194DEC17-9A32-456E-BEB5-FA9702C8F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opLeftCell="A48" workbookViewId="0">
      <selection activeCell="A3" sqref="A3:B64"/>
    </sheetView>
  </sheetViews>
  <sheetFormatPr defaultRowHeight="13.5" x14ac:dyDescent="0.3"/>
  <cols>
    <col min="1" max="1" width="57.33203125" customWidth="1"/>
    <col min="2" max="8" width="15.86328125" customWidth="1"/>
  </cols>
  <sheetData>
    <row r="1" spans="1:8" ht="20.55" customHeight="1" x14ac:dyDescent="0.3">
      <c r="A1" s="1" t="s">
        <v>0</v>
      </c>
    </row>
    <row r="2" spans="1:8" ht="20.55" customHeight="1" x14ac:dyDescent="0.3">
      <c r="A2" s="1" t="s">
        <v>1</v>
      </c>
    </row>
    <row r="3" spans="1:8" ht="20.5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15.75" x14ac:dyDescent="0.3">
      <c r="A4" s="14" t="s">
        <v>51</v>
      </c>
      <c r="B4" s="9">
        <v>541274</v>
      </c>
      <c r="C4" s="9">
        <v>525027</v>
      </c>
      <c r="D4" s="9">
        <v>496514</v>
      </c>
      <c r="E4" s="9">
        <v>485584</v>
      </c>
      <c r="F4" s="9">
        <v>471925</v>
      </c>
      <c r="G4" s="9">
        <v>455827</v>
      </c>
      <c r="H4" s="9">
        <v>441492</v>
      </c>
    </row>
    <row r="5" spans="1:8" ht="15.75" x14ac:dyDescent="0.3">
      <c r="A5" s="6" t="s">
        <v>40</v>
      </c>
      <c r="B5" s="9">
        <v>10090</v>
      </c>
      <c r="C5" s="9">
        <v>9661</v>
      </c>
      <c r="D5" s="9">
        <v>9263</v>
      </c>
      <c r="E5" s="9">
        <v>9018</v>
      </c>
      <c r="F5" s="9">
        <v>8781</v>
      </c>
      <c r="G5" s="9">
        <v>8945</v>
      </c>
      <c r="H5" s="9">
        <v>8585</v>
      </c>
    </row>
    <row r="6" spans="1:8" ht="20.55" customHeight="1" x14ac:dyDescent="0.3">
      <c r="A6" s="14" t="s">
        <v>50</v>
      </c>
      <c r="B6" s="9">
        <v>363782</v>
      </c>
      <c r="C6" s="9">
        <v>348551</v>
      </c>
      <c r="D6" s="9">
        <v>332625</v>
      </c>
      <c r="E6" s="9">
        <v>322503</v>
      </c>
      <c r="F6" s="9">
        <v>311151</v>
      </c>
      <c r="G6" s="9">
        <v>302308</v>
      </c>
      <c r="H6" s="9">
        <v>295615</v>
      </c>
    </row>
    <row r="7" spans="1:8" ht="20.55" customHeight="1" x14ac:dyDescent="0.3">
      <c r="A7" s="14" t="s">
        <v>49</v>
      </c>
      <c r="B7" s="9">
        <v>18258</v>
      </c>
      <c r="C7" s="9">
        <v>18298</v>
      </c>
      <c r="D7" s="9">
        <v>17451</v>
      </c>
      <c r="E7" s="9">
        <v>19233</v>
      </c>
      <c r="F7" s="9">
        <v>18981</v>
      </c>
      <c r="G7" s="9">
        <v>18099</v>
      </c>
      <c r="H7" s="9">
        <v>17773</v>
      </c>
    </row>
    <row r="8" spans="1:8" ht="15.75" x14ac:dyDescent="0.3">
      <c r="A8" s="7" t="s">
        <v>41</v>
      </c>
      <c r="B8" s="9">
        <v>8811</v>
      </c>
      <c r="C8" s="9">
        <v>9035</v>
      </c>
      <c r="D8" s="9">
        <v>8953</v>
      </c>
      <c r="E8" s="9">
        <v>10133</v>
      </c>
      <c r="F8" s="9">
        <v>9983</v>
      </c>
      <c r="G8" s="9">
        <v>9646</v>
      </c>
      <c r="H8" s="9">
        <v>9436</v>
      </c>
    </row>
    <row r="9" spans="1:8" ht="15.75" x14ac:dyDescent="0.3">
      <c r="A9" s="24" t="s">
        <v>10</v>
      </c>
      <c r="B9" s="9">
        <v>4461</v>
      </c>
      <c r="C9" s="9">
        <v>4155</v>
      </c>
      <c r="D9" s="9">
        <v>3743</v>
      </c>
      <c r="E9" s="9">
        <v>3755</v>
      </c>
      <c r="F9" s="9">
        <v>3818</v>
      </c>
      <c r="G9" s="9">
        <v>3956</v>
      </c>
      <c r="H9" s="9">
        <v>3916</v>
      </c>
    </row>
    <row r="10" spans="1:8" ht="15.75" x14ac:dyDescent="0.3">
      <c r="A10" s="3" t="s">
        <v>11</v>
      </c>
      <c r="B10" s="9">
        <v>1757</v>
      </c>
      <c r="C10" s="9">
        <v>1897</v>
      </c>
      <c r="D10" s="9">
        <v>1728</v>
      </c>
      <c r="E10" s="9">
        <v>1660</v>
      </c>
      <c r="F10" s="9">
        <v>1566</v>
      </c>
      <c r="G10" s="9">
        <v>1537</v>
      </c>
      <c r="H10" s="9">
        <v>1458</v>
      </c>
    </row>
    <row r="11" spans="1:8" ht="20.55" customHeight="1" x14ac:dyDescent="0.3">
      <c r="A11" s="3" t="s">
        <v>12</v>
      </c>
      <c r="B11" s="9">
        <v>1114</v>
      </c>
      <c r="C11" s="9">
        <v>1082</v>
      </c>
      <c r="D11" s="9">
        <v>1090</v>
      </c>
      <c r="E11" s="9">
        <v>1258</v>
      </c>
      <c r="F11" s="9">
        <v>1253</v>
      </c>
      <c r="G11" s="9">
        <v>1106</v>
      </c>
      <c r="H11" s="9">
        <v>1076</v>
      </c>
    </row>
    <row r="12" spans="1:8" ht="20.55" customHeight="1" x14ac:dyDescent="0.3">
      <c r="A12" s="8" t="s">
        <v>42</v>
      </c>
      <c r="B12" s="4">
        <f>SUM(B10:B11)</f>
        <v>2871</v>
      </c>
      <c r="C12" s="4"/>
      <c r="D12" s="4"/>
      <c r="E12" s="4"/>
      <c r="F12" s="4"/>
      <c r="G12" s="4"/>
      <c r="H12" s="4"/>
    </row>
    <row r="13" spans="1:8" ht="20.55" customHeight="1" x14ac:dyDescent="0.3">
      <c r="A13" s="3" t="s">
        <v>13</v>
      </c>
      <c r="B13" s="9">
        <v>1209</v>
      </c>
      <c r="C13" s="9">
        <v>1273</v>
      </c>
      <c r="D13" s="9">
        <v>1126</v>
      </c>
      <c r="E13" s="9">
        <v>1324</v>
      </c>
      <c r="F13" s="9">
        <v>1312</v>
      </c>
      <c r="G13" s="9">
        <v>1185</v>
      </c>
      <c r="H13" s="9">
        <v>1260</v>
      </c>
    </row>
    <row r="14" spans="1:8" ht="20.55" customHeight="1" x14ac:dyDescent="0.3">
      <c r="A14" s="3" t="s">
        <v>14</v>
      </c>
      <c r="B14" s="9">
        <v>406</v>
      </c>
      <c r="C14" s="9">
        <v>341</v>
      </c>
      <c r="D14" s="9">
        <v>322</v>
      </c>
      <c r="E14" s="9">
        <v>470</v>
      </c>
      <c r="F14" s="9">
        <v>464</v>
      </c>
      <c r="G14" s="9">
        <v>321</v>
      </c>
      <c r="H14" s="9">
        <v>286</v>
      </c>
    </row>
    <row r="15" spans="1:8" ht="20.55" customHeight="1" x14ac:dyDescent="0.3">
      <c r="A15" s="3" t="s">
        <v>15</v>
      </c>
      <c r="B15" s="9">
        <v>499</v>
      </c>
      <c r="C15" s="9">
        <v>516</v>
      </c>
      <c r="D15" s="9">
        <v>488</v>
      </c>
      <c r="E15" s="9">
        <v>633</v>
      </c>
      <c r="F15" s="9">
        <v>584</v>
      </c>
      <c r="G15" s="9">
        <v>347</v>
      </c>
      <c r="H15" s="9">
        <v>341</v>
      </c>
    </row>
    <row r="16" spans="1:8" ht="20.55" customHeight="1" x14ac:dyDescent="0.3">
      <c r="A16" s="8" t="s">
        <v>43</v>
      </c>
      <c r="B16" s="9">
        <f>SUM(B13:B15)</f>
        <v>2114</v>
      </c>
      <c r="C16" s="9"/>
      <c r="D16" s="9"/>
      <c r="E16" s="9"/>
      <c r="F16" s="9"/>
      <c r="G16" s="9"/>
      <c r="H16" s="9"/>
    </row>
    <row r="17" spans="1:8" ht="20.55" customHeight="1" x14ac:dyDescent="0.3">
      <c r="A17" s="14" t="s">
        <v>52</v>
      </c>
      <c r="B17" s="9">
        <v>307086</v>
      </c>
      <c r="C17" s="9">
        <v>293065</v>
      </c>
      <c r="D17" s="9">
        <v>279651</v>
      </c>
      <c r="E17" s="9">
        <v>268426</v>
      </c>
      <c r="F17" s="9">
        <v>258604</v>
      </c>
      <c r="G17" s="9">
        <v>252462</v>
      </c>
      <c r="H17" s="9">
        <v>247658</v>
      </c>
    </row>
    <row r="18" spans="1:8" ht="20.55" customHeight="1" x14ac:dyDescent="0.3">
      <c r="A18" s="3" t="s">
        <v>16</v>
      </c>
      <c r="B18" s="9">
        <v>4296</v>
      </c>
      <c r="C18" s="9">
        <v>4315</v>
      </c>
      <c r="D18" s="9">
        <v>4002</v>
      </c>
      <c r="E18" s="9">
        <v>4126</v>
      </c>
      <c r="F18" s="9">
        <v>4036</v>
      </c>
      <c r="G18" s="9">
        <v>4145</v>
      </c>
      <c r="H18" s="9">
        <v>4241</v>
      </c>
    </row>
    <row r="19" spans="1:8" ht="20.55" customHeight="1" x14ac:dyDescent="0.3">
      <c r="A19" s="3" t="s">
        <v>17</v>
      </c>
      <c r="B19" s="9">
        <v>2769</v>
      </c>
      <c r="C19" s="9">
        <v>2417</v>
      </c>
      <c r="D19" s="9">
        <v>2148</v>
      </c>
      <c r="E19" s="9">
        <v>2042</v>
      </c>
      <c r="F19" s="9">
        <v>1959</v>
      </c>
      <c r="G19" s="9">
        <v>1965</v>
      </c>
      <c r="H19" s="9">
        <v>1976</v>
      </c>
    </row>
    <row r="20" spans="1:8" ht="20.55" customHeight="1" x14ac:dyDescent="0.3">
      <c r="A20" s="3" t="s">
        <v>18</v>
      </c>
      <c r="B20" s="9">
        <v>1339</v>
      </c>
      <c r="C20" s="9">
        <v>1287</v>
      </c>
      <c r="D20" s="9">
        <v>1199</v>
      </c>
      <c r="E20" s="9">
        <v>1283</v>
      </c>
      <c r="F20" s="9">
        <v>1317</v>
      </c>
      <c r="G20" s="9">
        <v>1403</v>
      </c>
      <c r="H20" s="9">
        <v>1496</v>
      </c>
    </row>
    <row r="21" spans="1:8" ht="20.55" customHeight="1" x14ac:dyDescent="0.3">
      <c r="A21" s="3" t="s">
        <v>19</v>
      </c>
      <c r="B21" s="9">
        <v>192</v>
      </c>
      <c r="C21" s="9">
        <v>186</v>
      </c>
      <c r="D21" s="9">
        <v>180</v>
      </c>
      <c r="E21" s="9">
        <v>192</v>
      </c>
      <c r="F21" s="9">
        <v>198</v>
      </c>
      <c r="G21" s="9">
        <v>200</v>
      </c>
      <c r="H21" s="9">
        <v>206</v>
      </c>
    </row>
    <row r="22" spans="1:8" ht="20.55" customHeight="1" x14ac:dyDescent="0.3">
      <c r="A22" s="10" t="s">
        <v>44</v>
      </c>
      <c r="B22" s="9">
        <f>SUM(B18:B21)</f>
        <v>8596</v>
      </c>
      <c r="C22" s="9"/>
      <c r="D22" s="9"/>
      <c r="E22" s="9"/>
      <c r="F22" s="9"/>
      <c r="G22" s="9"/>
      <c r="H22" s="9"/>
    </row>
    <row r="23" spans="1:8" ht="20.55" customHeight="1" x14ac:dyDescent="0.3">
      <c r="A23" s="23" t="s">
        <v>20</v>
      </c>
      <c r="B23" s="9">
        <v>7268</v>
      </c>
      <c r="C23" s="9">
        <v>7932</v>
      </c>
      <c r="D23" s="9">
        <v>6982</v>
      </c>
      <c r="E23" s="9">
        <v>7398</v>
      </c>
      <c r="F23" s="9">
        <v>7372</v>
      </c>
      <c r="G23" s="9">
        <v>7518</v>
      </c>
      <c r="H23" s="9">
        <v>7303</v>
      </c>
    </row>
    <row r="24" spans="1:8" ht="20.55" customHeight="1" x14ac:dyDescent="0.3">
      <c r="A24" s="3" t="s">
        <v>21</v>
      </c>
      <c r="B24" s="9">
        <v>912</v>
      </c>
      <c r="C24" s="9">
        <v>989</v>
      </c>
      <c r="D24" s="9">
        <v>854</v>
      </c>
      <c r="E24" s="9">
        <v>905</v>
      </c>
      <c r="F24" s="9">
        <v>866</v>
      </c>
      <c r="G24" s="9">
        <v>882</v>
      </c>
      <c r="H24" s="9">
        <v>946</v>
      </c>
    </row>
    <row r="25" spans="1:8" ht="31.5" x14ac:dyDescent="0.3">
      <c r="A25" s="3" t="s">
        <v>22</v>
      </c>
      <c r="B25" s="9">
        <v>531</v>
      </c>
      <c r="C25" s="9">
        <v>535</v>
      </c>
      <c r="D25" s="9">
        <v>489</v>
      </c>
      <c r="E25" s="9">
        <v>539</v>
      </c>
      <c r="F25" s="9">
        <v>546</v>
      </c>
      <c r="G25" s="9">
        <v>563</v>
      </c>
      <c r="H25" s="9">
        <v>607</v>
      </c>
    </row>
    <row r="26" spans="1:8" ht="15.75" x14ac:dyDescent="0.3">
      <c r="A26" s="11" t="s">
        <v>45</v>
      </c>
      <c r="B26" s="9">
        <f>SUM(B24:B25)</f>
        <v>1443</v>
      </c>
      <c r="C26" s="9"/>
      <c r="D26" s="9"/>
      <c r="E26" s="9"/>
      <c r="F26" s="9"/>
      <c r="G26" s="9"/>
      <c r="H26" s="9"/>
    </row>
    <row r="27" spans="1:8" ht="31.5" x14ac:dyDescent="0.3">
      <c r="A27" s="3" t="s">
        <v>23</v>
      </c>
      <c r="B27" s="9">
        <v>1094</v>
      </c>
      <c r="C27" s="9">
        <v>1154</v>
      </c>
      <c r="D27" s="9">
        <v>1007</v>
      </c>
      <c r="E27" s="9">
        <v>1036</v>
      </c>
      <c r="F27" s="9">
        <v>1059</v>
      </c>
      <c r="G27" s="9">
        <v>1082</v>
      </c>
      <c r="H27" s="9">
        <v>1194</v>
      </c>
    </row>
    <row r="28" spans="1:8" ht="20.55" customHeight="1" x14ac:dyDescent="0.3">
      <c r="A28" s="3" t="s">
        <v>24</v>
      </c>
      <c r="B28" s="9">
        <v>439</v>
      </c>
      <c r="C28" s="9">
        <v>459</v>
      </c>
      <c r="D28" s="9">
        <v>393</v>
      </c>
      <c r="E28" s="9">
        <v>383</v>
      </c>
      <c r="F28" s="9">
        <v>367</v>
      </c>
      <c r="G28" s="9">
        <v>353</v>
      </c>
      <c r="H28" s="9">
        <v>364</v>
      </c>
    </row>
    <row r="29" spans="1:8" ht="20.55" customHeight="1" x14ac:dyDescent="0.3">
      <c r="A29" s="12" t="s">
        <v>46</v>
      </c>
      <c r="B29" s="9">
        <f>SUM(B27:B28)</f>
        <v>1533</v>
      </c>
      <c r="C29" s="9"/>
      <c r="D29" s="9"/>
      <c r="E29" s="9"/>
      <c r="F29" s="9"/>
      <c r="G29" s="9"/>
      <c r="H29" s="9"/>
    </row>
    <row r="30" spans="1:8" ht="20.55" customHeight="1" x14ac:dyDescent="0.3">
      <c r="A30" s="3" t="s">
        <v>25</v>
      </c>
      <c r="B30" s="9">
        <v>4462</v>
      </c>
      <c r="C30" s="9">
        <v>4204</v>
      </c>
      <c r="D30" s="9">
        <v>3927</v>
      </c>
      <c r="E30" s="9">
        <v>3847</v>
      </c>
      <c r="F30" s="9">
        <v>4102</v>
      </c>
      <c r="G30" s="9">
        <v>4314</v>
      </c>
      <c r="H30" s="9">
        <v>4115</v>
      </c>
    </row>
    <row r="31" spans="1:8" ht="20.55" customHeight="1" x14ac:dyDescent="0.3">
      <c r="A31" s="3" t="s">
        <v>26</v>
      </c>
      <c r="B31" s="9">
        <v>550</v>
      </c>
      <c r="C31" s="9">
        <v>556</v>
      </c>
      <c r="D31" s="9">
        <v>498</v>
      </c>
      <c r="E31" s="9">
        <v>508</v>
      </c>
      <c r="F31" s="9">
        <v>517</v>
      </c>
      <c r="G31" s="9">
        <v>484</v>
      </c>
      <c r="H31" s="9">
        <v>481</v>
      </c>
    </row>
    <row r="32" spans="1:8" ht="31.5" x14ac:dyDescent="0.3">
      <c r="A32" s="3" t="s">
        <v>27</v>
      </c>
      <c r="B32" s="9">
        <v>460</v>
      </c>
      <c r="C32" s="9">
        <v>545</v>
      </c>
      <c r="D32" s="9">
        <v>501</v>
      </c>
      <c r="E32" s="9">
        <v>493</v>
      </c>
      <c r="F32" s="9">
        <v>461</v>
      </c>
      <c r="G32" s="9">
        <v>435</v>
      </c>
      <c r="H32" s="9">
        <v>410</v>
      </c>
    </row>
    <row r="33" spans="1:8" ht="20.55" customHeight="1" x14ac:dyDescent="0.3">
      <c r="A33" s="19" t="s">
        <v>72</v>
      </c>
      <c r="B33" s="9">
        <f>SUM(B30:B32)</f>
        <v>5472</v>
      </c>
      <c r="C33" s="9"/>
      <c r="D33" s="9"/>
      <c r="E33" s="9"/>
      <c r="F33" s="9"/>
      <c r="G33" s="9"/>
      <c r="H33" s="9"/>
    </row>
    <row r="34" spans="1:8" ht="20.55" customHeight="1" x14ac:dyDescent="0.3">
      <c r="A34" s="13" t="s">
        <v>47</v>
      </c>
      <c r="B34" s="9">
        <v>41969</v>
      </c>
      <c r="C34" s="9">
        <v>36720</v>
      </c>
      <c r="D34" s="9">
        <v>35267</v>
      </c>
      <c r="E34" s="9">
        <v>32572</v>
      </c>
      <c r="F34" s="9">
        <v>28689</v>
      </c>
      <c r="G34" s="9">
        <v>26458</v>
      </c>
      <c r="H34" s="9">
        <v>24165</v>
      </c>
    </row>
    <row r="35" spans="1:8" ht="20.55" customHeight="1" x14ac:dyDescent="0.3">
      <c r="A35" s="3" t="s">
        <v>28</v>
      </c>
      <c r="B35" s="9">
        <v>66327</v>
      </c>
      <c r="C35" s="9">
        <v>60405</v>
      </c>
      <c r="D35" s="9">
        <v>56723</v>
      </c>
      <c r="E35" s="9">
        <v>53272</v>
      </c>
      <c r="F35" s="9">
        <v>51278</v>
      </c>
      <c r="G35" s="9">
        <v>49356</v>
      </c>
      <c r="H35" s="9">
        <v>49722</v>
      </c>
    </row>
    <row r="36" spans="1:8" ht="20.55" customHeight="1" x14ac:dyDescent="0.3">
      <c r="A36" s="3" t="s">
        <v>29</v>
      </c>
      <c r="B36" s="9">
        <v>2603</v>
      </c>
      <c r="C36" s="9">
        <v>2395</v>
      </c>
      <c r="D36" s="9">
        <v>2259</v>
      </c>
      <c r="E36" s="9">
        <v>2179</v>
      </c>
      <c r="F36" s="9">
        <v>2179</v>
      </c>
      <c r="G36" s="9">
        <v>2251</v>
      </c>
      <c r="H36" s="9">
        <v>2323</v>
      </c>
    </row>
    <row r="37" spans="1:8" ht="20.55" customHeight="1" x14ac:dyDescent="0.3">
      <c r="A37" s="3" t="s">
        <v>30</v>
      </c>
      <c r="B37" s="9">
        <v>2634</v>
      </c>
      <c r="C37" s="9">
        <v>2713</v>
      </c>
      <c r="D37" s="9">
        <v>2355</v>
      </c>
      <c r="E37" s="9">
        <v>2416</v>
      </c>
      <c r="F37" s="9">
        <v>2329</v>
      </c>
      <c r="G37" s="9">
        <v>2204</v>
      </c>
      <c r="H37" s="9">
        <v>2075</v>
      </c>
    </row>
    <row r="38" spans="1:8" ht="20.55" customHeight="1" x14ac:dyDescent="0.3">
      <c r="A38" s="3" t="s">
        <v>31</v>
      </c>
      <c r="B38" s="9">
        <v>5380</v>
      </c>
      <c r="C38" s="9">
        <v>5547</v>
      </c>
      <c r="D38" s="9">
        <v>4990</v>
      </c>
      <c r="E38" s="9">
        <v>4868</v>
      </c>
      <c r="F38" s="9">
        <v>4793</v>
      </c>
      <c r="G38" s="9">
        <v>4771</v>
      </c>
      <c r="H38" s="9">
        <v>4538</v>
      </c>
    </row>
    <row r="39" spans="1:8" ht="20.55" customHeight="1" x14ac:dyDescent="0.3">
      <c r="A39" s="12" t="s">
        <v>48</v>
      </c>
      <c r="B39" s="9">
        <f>SUM(B35:B38)</f>
        <v>76944</v>
      </c>
      <c r="C39" s="9"/>
      <c r="D39" s="9"/>
      <c r="E39" s="9"/>
      <c r="F39" s="9"/>
      <c r="G39" s="9"/>
      <c r="H39" s="9"/>
    </row>
    <row r="40" spans="1:8" ht="20.55" customHeight="1" x14ac:dyDescent="0.3">
      <c r="A40" s="22" t="s">
        <v>71</v>
      </c>
      <c r="B40" s="9">
        <v>37049</v>
      </c>
      <c r="C40" s="9">
        <v>36039</v>
      </c>
      <c r="D40" s="9">
        <v>35387</v>
      </c>
      <c r="E40" s="9">
        <v>33344</v>
      </c>
      <c r="F40" s="9">
        <v>32798</v>
      </c>
      <c r="G40" s="9">
        <v>33343</v>
      </c>
      <c r="H40" s="9">
        <v>34772</v>
      </c>
    </row>
    <row r="41" spans="1:8" ht="20.55" customHeight="1" x14ac:dyDescent="0.3">
      <c r="A41" s="3" t="s">
        <v>32</v>
      </c>
      <c r="B41" s="9">
        <v>66011</v>
      </c>
      <c r="C41" s="9">
        <v>66263</v>
      </c>
      <c r="D41" s="9">
        <v>66851</v>
      </c>
      <c r="E41" s="9">
        <v>65387</v>
      </c>
      <c r="F41" s="9">
        <v>62279</v>
      </c>
      <c r="G41" s="9">
        <v>62843</v>
      </c>
      <c r="H41" s="9">
        <v>62879</v>
      </c>
    </row>
    <row r="42" spans="1:8" ht="20.55" customHeight="1" x14ac:dyDescent="0.3">
      <c r="A42" s="3" t="s">
        <v>33</v>
      </c>
      <c r="B42" s="9">
        <v>27663</v>
      </c>
      <c r="C42" s="9">
        <v>26413</v>
      </c>
      <c r="D42" s="9">
        <v>25460</v>
      </c>
      <c r="E42" s="9">
        <v>24436</v>
      </c>
      <c r="F42" s="9">
        <v>24628</v>
      </c>
      <c r="G42" s="9">
        <v>23316</v>
      </c>
      <c r="H42" s="9">
        <v>21028</v>
      </c>
    </row>
    <row r="43" spans="1:8" ht="20.55" customHeight="1" x14ac:dyDescent="0.3">
      <c r="A43" s="22" t="s">
        <v>69</v>
      </c>
      <c r="B43" s="9">
        <f>SUM(B41:B42)</f>
        <v>93674</v>
      </c>
      <c r="C43" s="9"/>
      <c r="D43" s="9"/>
      <c r="E43" s="9"/>
      <c r="F43" s="9"/>
      <c r="G43" s="9"/>
      <c r="H43" s="9"/>
    </row>
    <row r="44" spans="1:8" ht="20.55" customHeight="1" x14ac:dyDescent="0.3">
      <c r="A44" s="22" t="s">
        <v>70</v>
      </c>
      <c r="B44" s="9">
        <v>6451</v>
      </c>
      <c r="C44" s="9">
        <v>6879</v>
      </c>
      <c r="D44" s="9">
        <v>6385</v>
      </c>
      <c r="E44" s="9">
        <v>6552</v>
      </c>
      <c r="F44" s="9">
        <v>6283</v>
      </c>
      <c r="G44" s="9">
        <v>6366</v>
      </c>
      <c r="H44" s="9">
        <v>4974</v>
      </c>
    </row>
    <row r="45" spans="1:8" ht="20.55" customHeight="1" x14ac:dyDescent="0.3">
      <c r="A45" s="21" t="s">
        <v>67</v>
      </c>
      <c r="B45" s="9">
        <v>4199</v>
      </c>
      <c r="C45" s="9">
        <v>4345</v>
      </c>
      <c r="D45" s="9">
        <v>3982</v>
      </c>
      <c r="E45" s="9">
        <v>3627</v>
      </c>
      <c r="F45" s="9">
        <v>3705</v>
      </c>
      <c r="G45" s="9">
        <v>3636</v>
      </c>
      <c r="H45" s="9">
        <v>3665</v>
      </c>
    </row>
    <row r="46" spans="1:8" ht="20.55" customHeight="1" x14ac:dyDescent="0.3">
      <c r="A46" s="21" t="s">
        <v>68</v>
      </c>
      <c r="B46" s="9">
        <v>1903</v>
      </c>
      <c r="C46" s="9">
        <v>1991</v>
      </c>
      <c r="D46" s="9">
        <v>1820</v>
      </c>
      <c r="E46" s="9">
        <v>1884</v>
      </c>
      <c r="F46" s="9">
        <v>1691</v>
      </c>
      <c r="G46" s="9">
        <v>1691</v>
      </c>
      <c r="H46" s="9">
        <v>1739</v>
      </c>
    </row>
    <row r="47" spans="1:8" ht="20.55" customHeight="1" x14ac:dyDescent="0.3">
      <c r="A47" s="3" t="s">
        <v>34</v>
      </c>
      <c r="B47" s="9">
        <v>4781</v>
      </c>
      <c r="C47" s="9">
        <v>4645</v>
      </c>
      <c r="D47" s="9">
        <v>4078</v>
      </c>
      <c r="E47" s="9">
        <v>3663</v>
      </c>
      <c r="F47" s="9">
        <v>3646</v>
      </c>
      <c r="G47" s="9">
        <v>3380</v>
      </c>
      <c r="H47" s="9">
        <v>3276</v>
      </c>
    </row>
    <row r="48" spans="1:8" ht="31.5" x14ac:dyDescent="0.3">
      <c r="A48" s="3" t="s">
        <v>35</v>
      </c>
      <c r="B48" s="9">
        <v>975</v>
      </c>
      <c r="C48" s="9">
        <v>915</v>
      </c>
      <c r="D48" s="9">
        <v>827</v>
      </c>
      <c r="E48" s="9">
        <v>853</v>
      </c>
      <c r="F48" s="9">
        <v>1821</v>
      </c>
      <c r="G48" s="9">
        <v>979</v>
      </c>
      <c r="H48" s="9">
        <v>867</v>
      </c>
    </row>
    <row r="49" spans="1:8" ht="15.75" x14ac:dyDescent="0.3">
      <c r="A49" s="20" t="s">
        <v>66</v>
      </c>
      <c r="B49" s="9">
        <f>SUM(B47:B48)</f>
        <v>5756</v>
      </c>
      <c r="C49" s="9"/>
      <c r="D49" s="9"/>
      <c r="E49" s="9"/>
      <c r="F49" s="9"/>
      <c r="G49" s="9"/>
      <c r="H49" s="9"/>
    </row>
    <row r="50" spans="1:8" ht="20.55" customHeight="1" x14ac:dyDescent="0.3">
      <c r="A50" s="21" t="s">
        <v>65</v>
      </c>
      <c r="B50" s="9">
        <v>4632</v>
      </c>
      <c r="C50" s="9">
        <v>3910</v>
      </c>
      <c r="D50" s="9">
        <v>3106</v>
      </c>
      <c r="E50" s="9">
        <v>2841</v>
      </c>
      <c r="F50" s="9">
        <v>2698</v>
      </c>
      <c r="G50" s="9">
        <v>2582</v>
      </c>
      <c r="H50" s="9">
        <v>2623</v>
      </c>
    </row>
    <row r="51" spans="1:8" ht="15.75" x14ac:dyDescent="0.3">
      <c r="A51" s="20" t="s">
        <v>64</v>
      </c>
      <c r="B51" s="9">
        <v>6721</v>
      </c>
      <c r="C51" s="9">
        <v>6004</v>
      </c>
      <c r="D51" s="9">
        <v>5120</v>
      </c>
      <c r="E51" s="9">
        <v>5028</v>
      </c>
      <c r="F51" s="9">
        <v>4628</v>
      </c>
      <c r="G51" s="9">
        <v>3662</v>
      </c>
      <c r="H51" s="9">
        <v>3377</v>
      </c>
    </row>
    <row r="52" spans="1:8" ht="20.55" customHeight="1" x14ac:dyDescent="0.3">
      <c r="A52" s="19" t="s">
        <v>63</v>
      </c>
      <c r="B52" s="9">
        <v>298</v>
      </c>
      <c r="C52" s="9">
        <v>290</v>
      </c>
      <c r="D52" s="9">
        <v>252</v>
      </c>
      <c r="E52" s="9">
        <v>249</v>
      </c>
      <c r="F52" s="9">
        <v>277</v>
      </c>
      <c r="G52" s="9">
        <v>307</v>
      </c>
      <c r="H52" s="9">
        <v>309</v>
      </c>
    </row>
    <row r="53" spans="1:8" ht="20.55" customHeight="1" x14ac:dyDescent="0.3">
      <c r="A53" s="3" t="s">
        <v>36</v>
      </c>
      <c r="B53" s="9">
        <v>2334</v>
      </c>
      <c r="C53" s="9">
        <v>2230</v>
      </c>
      <c r="D53" s="9">
        <v>1857</v>
      </c>
      <c r="E53" s="9">
        <v>1799</v>
      </c>
      <c r="F53" s="9">
        <v>1620</v>
      </c>
      <c r="G53" s="9">
        <v>1672</v>
      </c>
      <c r="H53" s="9">
        <v>1708</v>
      </c>
    </row>
    <row r="54" spans="1:8" ht="20.55" customHeight="1" x14ac:dyDescent="0.3">
      <c r="A54" s="3" t="s">
        <v>37</v>
      </c>
      <c r="B54" s="9">
        <v>727</v>
      </c>
      <c r="C54" s="9">
        <v>714</v>
      </c>
      <c r="D54" s="9">
        <v>686</v>
      </c>
      <c r="E54" s="9">
        <v>635</v>
      </c>
      <c r="F54" s="9">
        <v>391</v>
      </c>
      <c r="G54" s="9">
        <v>222</v>
      </c>
      <c r="H54" s="9">
        <v>228</v>
      </c>
    </row>
    <row r="55" spans="1:8" ht="20.55" customHeight="1" x14ac:dyDescent="0.3">
      <c r="A55" s="17" t="s">
        <v>61</v>
      </c>
      <c r="B55" s="9">
        <f>SUM(B53:B54)</f>
        <v>3061</v>
      </c>
      <c r="C55" s="9"/>
      <c r="D55" s="9"/>
      <c r="E55" s="9"/>
      <c r="F55" s="9"/>
      <c r="G55" s="9"/>
      <c r="H55" s="9"/>
    </row>
    <row r="56" spans="1:8" ht="20.55" customHeight="1" x14ac:dyDescent="0.3">
      <c r="A56" s="18" t="s">
        <v>62</v>
      </c>
      <c r="B56" s="9">
        <v>115</v>
      </c>
      <c r="C56" s="9">
        <v>70</v>
      </c>
      <c r="D56" s="9">
        <v>63</v>
      </c>
      <c r="E56" s="9">
        <v>68</v>
      </c>
      <c r="F56" s="9">
        <v>72</v>
      </c>
      <c r="G56" s="9">
        <v>76</v>
      </c>
      <c r="H56" s="9">
        <v>52</v>
      </c>
    </row>
    <row r="57" spans="1:8" ht="31.5" x14ac:dyDescent="0.3">
      <c r="A57" s="14" t="s">
        <v>57</v>
      </c>
      <c r="B57" s="9">
        <v>38438</v>
      </c>
      <c r="C57" s="9">
        <v>37188</v>
      </c>
      <c r="D57" s="9">
        <v>35523</v>
      </c>
      <c r="E57" s="9">
        <v>34844</v>
      </c>
      <c r="F57" s="9">
        <v>33566</v>
      </c>
      <c r="G57" s="9">
        <v>31747</v>
      </c>
      <c r="H57" s="9">
        <v>30184</v>
      </c>
    </row>
    <row r="58" spans="1:8" ht="20.55" customHeight="1" x14ac:dyDescent="0.3">
      <c r="A58" s="7" t="s">
        <v>53</v>
      </c>
      <c r="B58" s="9">
        <v>34378</v>
      </c>
      <c r="C58" s="9">
        <v>33487</v>
      </c>
      <c r="D58" s="9">
        <v>32076</v>
      </c>
      <c r="E58" s="9">
        <v>31759</v>
      </c>
      <c r="F58" s="9">
        <v>30832</v>
      </c>
      <c r="G58" s="9">
        <v>29258</v>
      </c>
      <c r="H58" s="9">
        <v>28080</v>
      </c>
    </row>
    <row r="59" spans="1:8" ht="20.55" customHeight="1" x14ac:dyDescent="0.3">
      <c r="A59" s="7" t="s">
        <v>54</v>
      </c>
      <c r="B59" s="9">
        <v>1792</v>
      </c>
      <c r="C59" s="9">
        <v>1537</v>
      </c>
      <c r="D59" s="9">
        <v>1525</v>
      </c>
      <c r="E59" s="9">
        <v>1309</v>
      </c>
      <c r="F59" s="9">
        <v>1148</v>
      </c>
      <c r="G59" s="9">
        <v>994</v>
      </c>
      <c r="H59" s="9">
        <v>739</v>
      </c>
    </row>
    <row r="60" spans="1:8" ht="20.55" customHeight="1" x14ac:dyDescent="0.3">
      <c r="A60" s="7" t="s">
        <v>55</v>
      </c>
      <c r="B60" s="9">
        <v>2268</v>
      </c>
      <c r="C60" s="9">
        <v>2164</v>
      </c>
      <c r="D60" s="9">
        <v>1923</v>
      </c>
      <c r="E60" s="9">
        <v>1775</v>
      </c>
      <c r="F60" s="9">
        <v>1587</v>
      </c>
      <c r="G60" s="9">
        <v>1495</v>
      </c>
      <c r="H60" s="9">
        <v>1365</v>
      </c>
    </row>
    <row r="61" spans="1:8" ht="20.55" customHeight="1" x14ac:dyDescent="0.3">
      <c r="A61" s="7" t="s">
        <v>56</v>
      </c>
      <c r="B61" s="9">
        <v>8371</v>
      </c>
      <c r="C61" s="9">
        <v>9608</v>
      </c>
      <c r="D61" s="9">
        <v>9320</v>
      </c>
      <c r="E61" s="9">
        <v>9142</v>
      </c>
      <c r="F61" s="9">
        <v>8685</v>
      </c>
      <c r="G61" s="9">
        <v>8243</v>
      </c>
      <c r="H61" s="9">
        <v>7847</v>
      </c>
    </row>
    <row r="62" spans="1:8" ht="20.55" customHeight="1" x14ac:dyDescent="0.3">
      <c r="A62" s="13" t="s">
        <v>58</v>
      </c>
      <c r="B62" s="9">
        <v>40434</v>
      </c>
      <c r="C62" s="9">
        <v>43935</v>
      </c>
      <c r="D62" s="9">
        <v>41309</v>
      </c>
      <c r="E62" s="9">
        <v>43909</v>
      </c>
      <c r="F62" s="9">
        <v>43617</v>
      </c>
      <c r="G62" s="9">
        <v>42140</v>
      </c>
      <c r="H62" s="9">
        <v>39883</v>
      </c>
    </row>
    <row r="63" spans="1:8" ht="20.55" customHeight="1" x14ac:dyDescent="0.3">
      <c r="A63" s="15" t="s">
        <v>59</v>
      </c>
      <c r="B63" s="9">
        <v>15342</v>
      </c>
      <c r="C63" s="9">
        <v>14898</v>
      </c>
      <c r="D63" s="9">
        <v>13171</v>
      </c>
      <c r="E63" s="9">
        <v>13624</v>
      </c>
      <c r="F63" s="9">
        <v>12994</v>
      </c>
      <c r="G63" s="9">
        <v>12456</v>
      </c>
      <c r="H63" s="9">
        <v>12042</v>
      </c>
    </row>
    <row r="64" spans="1:8" ht="20.55" customHeight="1" x14ac:dyDescent="0.3">
      <c r="A64" s="16" t="s">
        <v>60</v>
      </c>
      <c r="B64" s="9">
        <v>32375</v>
      </c>
      <c r="C64" s="9">
        <v>31762</v>
      </c>
      <c r="D64" s="9">
        <v>28245</v>
      </c>
      <c r="E64" s="9">
        <v>27582</v>
      </c>
      <c r="F64" s="9">
        <v>26262</v>
      </c>
      <c r="G64" s="9">
        <v>24277</v>
      </c>
      <c r="H64" s="9">
        <v>23185</v>
      </c>
    </row>
    <row r="65" spans="1:8" ht="20.55" customHeight="1" x14ac:dyDescent="0.3">
      <c r="A65" s="3" t="s">
        <v>38</v>
      </c>
      <c r="B65" s="9">
        <v>70288</v>
      </c>
      <c r="C65" s="9">
        <v>67481</v>
      </c>
      <c r="D65" s="9">
        <v>64373.57</v>
      </c>
      <c r="E65" s="9">
        <v>61709</v>
      </c>
      <c r="F65" s="9">
        <v>60436</v>
      </c>
      <c r="G65" s="9">
        <v>57459</v>
      </c>
      <c r="H65" s="9">
        <v>54336</v>
      </c>
    </row>
    <row r="66" spans="1:8" ht="20.55" customHeight="1" x14ac:dyDescent="0.3">
      <c r="A66" s="5" t="s">
        <v>39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65CF-906B-48BC-84BE-C0372180871B}">
  <dimension ref="A1:B31"/>
  <sheetViews>
    <sheetView topLeftCell="A11" workbookViewId="0">
      <selection activeCell="B29" sqref="B29"/>
    </sheetView>
  </sheetViews>
  <sheetFormatPr defaultRowHeight="13.5" x14ac:dyDescent="0.3"/>
  <cols>
    <col min="1" max="1" width="51.796875" bestFit="1" customWidth="1"/>
  </cols>
  <sheetData>
    <row r="1" spans="1:2" ht="15.75" x14ac:dyDescent="0.3">
      <c r="A1" s="2" t="s">
        <v>2</v>
      </c>
      <c r="B1" s="2" t="s">
        <v>3</v>
      </c>
    </row>
    <row r="2" spans="1:2" ht="15.75" x14ac:dyDescent="0.3">
      <c r="A2" s="6" t="s">
        <v>40</v>
      </c>
      <c r="B2" s="9">
        <v>10090</v>
      </c>
    </row>
    <row r="3" spans="1:2" ht="15.75" x14ac:dyDescent="0.3">
      <c r="A3" s="7" t="s">
        <v>41</v>
      </c>
      <c r="B3" s="9">
        <v>8811</v>
      </c>
    </row>
    <row r="4" spans="1:2" ht="15.75" x14ac:dyDescent="0.3">
      <c r="A4" s="24" t="s">
        <v>10</v>
      </c>
      <c r="B4" s="9">
        <v>4461</v>
      </c>
    </row>
    <row r="5" spans="1:2" ht="15.75" x14ac:dyDescent="0.3">
      <c r="A5" s="8" t="s">
        <v>42</v>
      </c>
      <c r="B5" s="4">
        <v>2871</v>
      </c>
    </row>
    <row r="6" spans="1:2" ht="15.75" x14ac:dyDescent="0.3">
      <c r="A6" s="8" t="s">
        <v>43</v>
      </c>
      <c r="B6" s="9">
        <v>2114</v>
      </c>
    </row>
    <row r="7" spans="1:2" ht="15.75" x14ac:dyDescent="0.3">
      <c r="A7" s="10" t="s">
        <v>44</v>
      </c>
      <c r="B7" s="9">
        <v>8596</v>
      </c>
    </row>
    <row r="8" spans="1:2" ht="15.75" x14ac:dyDescent="0.3">
      <c r="A8" s="23" t="s">
        <v>20</v>
      </c>
      <c r="B8" s="9">
        <v>7268</v>
      </c>
    </row>
    <row r="9" spans="1:2" ht="15.75" x14ac:dyDescent="0.3">
      <c r="A9" s="11" t="s">
        <v>45</v>
      </c>
      <c r="B9" s="9">
        <v>1443</v>
      </c>
    </row>
    <row r="10" spans="1:2" ht="15.75" x14ac:dyDescent="0.3">
      <c r="A10" s="12" t="s">
        <v>46</v>
      </c>
      <c r="B10" s="9">
        <v>1533</v>
      </c>
    </row>
    <row r="11" spans="1:2" ht="15.75" x14ac:dyDescent="0.3">
      <c r="A11" s="19" t="s">
        <v>72</v>
      </c>
      <c r="B11" s="9">
        <v>5472</v>
      </c>
    </row>
    <row r="12" spans="1:2" ht="15.75" x14ac:dyDescent="0.3">
      <c r="A12" s="13" t="s">
        <v>47</v>
      </c>
      <c r="B12" s="9">
        <v>41969</v>
      </c>
    </row>
    <row r="13" spans="1:2" ht="15.75" x14ac:dyDescent="0.3">
      <c r="A13" s="12" t="s">
        <v>48</v>
      </c>
      <c r="B13" s="9">
        <v>76944</v>
      </c>
    </row>
    <row r="14" spans="1:2" ht="15.75" x14ac:dyDescent="0.3">
      <c r="A14" s="22" t="s">
        <v>71</v>
      </c>
      <c r="B14" s="9">
        <v>37049</v>
      </c>
    </row>
    <row r="15" spans="1:2" ht="15.75" x14ac:dyDescent="0.3">
      <c r="A15" s="22" t="s">
        <v>69</v>
      </c>
      <c r="B15" s="9">
        <v>93674</v>
      </c>
    </row>
    <row r="16" spans="1:2" ht="15.75" x14ac:dyDescent="0.3">
      <c r="A16" s="22" t="s">
        <v>70</v>
      </c>
      <c r="B16" s="9">
        <v>6451</v>
      </c>
    </row>
    <row r="17" spans="1:2" ht="15.75" x14ac:dyDescent="0.3">
      <c r="A17" s="21" t="s">
        <v>67</v>
      </c>
      <c r="B17" s="9">
        <v>4199</v>
      </c>
    </row>
    <row r="18" spans="1:2" ht="15.75" x14ac:dyDescent="0.3">
      <c r="A18" s="21" t="s">
        <v>68</v>
      </c>
      <c r="B18" s="9">
        <v>1903</v>
      </c>
    </row>
    <row r="19" spans="1:2" ht="15.75" x14ac:dyDescent="0.3">
      <c r="A19" s="20" t="s">
        <v>66</v>
      </c>
      <c r="B19" s="9">
        <v>5756</v>
      </c>
    </row>
    <row r="20" spans="1:2" ht="15.75" x14ac:dyDescent="0.3">
      <c r="A20" s="21" t="s">
        <v>65</v>
      </c>
      <c r="B20" s="9">
        <v>4632</v>
      </c>
    </row>
    <row r="21" spans="1:2" ht="15.75" x14ac:dyDescent="0.3">
      <c r="A21" s="20" t="s">
        <v>64</v>
      </c>
      <c r="B21" s="9">
        <v>6721</v>
      </c>
    </row>
    <row r="22" spans="1:2" ht="15.75" x14ac:dyDescent="0.3">
      <c r="A22" s="19" t="s">
        <v>63</v>
      </c>
      <c r="B22" s="9">
        <v>298</v>
      </c>
    </row>
    <row r="23" spans="1:2" ht="15.75" x14ac:dyDescent="0.3">
      <c r="A23" s="17" t="s">
        <v>61</v>
      </c>
      <c r="B23" s="9">
        <v>3061</v>
      </c>
    </row>
    <row r="24" spans="1:2" ht="15.75" x14ac:dyDescent="0.3">
      <c r="A24" s="18" t="s">
        <v>62</v>
      </c>
      <c r="B24" s="9">
        <v>115</v>
      </c>
    </row>
    <row r="25" spans="1:2" ht="15.75" x14ac:dyDescent="0.3">
      <c r="A25" s="7" t="s">
        <v>53</v>
      </c>
      <c r="B25" s="9">
        <v>34378</v>
      </c>
    </row>
    <row r="26" spans="1:2" ht="15.75" x14ac:dyDescent="0.3">
      <c r="A26" s="7" t="s">
        <v>54</v>
      </c>
      <c r="B26" s="9">
        <v>1792</v>
      </c>
    </row>
    <row r="27" spans="1:2" ht="15.75" x14ac:dyDescent="0.3">
      <c r="A27" s="7" t="s">
        <v>55</v>
      </c>
      <c r="B27" s="9">
        <v>2268</v>
      </c>
    </row>
    <row r="28" spans="1:2" ht="15.75" x14ac:dyDescent="0.3">
      <c r="A28" s="7" t="s">
        <v>56</v>
      </c>
      <c r="B28" s="9">
        <v>8371</v>
      </c>
    </row>
    <row r="29" spans="1:2" ht="15.75" x14ac:dyDescent="0.3">
      <c r="A29" s="13" t="s">
        <v>58</v>
      </c>
      <c r="B29" s="9">
        <v>40434</v>
      </c>
    </row>
    <row r="30" spans="1:2" ht="15.75" x14ac:dyDescent="0.3">
      <c r="A30" s="15" t="s">
        <v>59</v>
      </c>
      <c r="B30" s="9">
        <v>15342</v>
      </c>
    </row>
    <row r="31" spans="1:2" ht="15.75" x14ac:dyDescent="0.3">
      <c r="A31" s="16" t="s">
        <v>60</v>
      </c>
      <c r="B31" s="9">
        <v>32375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8C30-2CA7-41B8-B1D0-176BB2E4F64F}">
  <dimension ref="A1:C43"/>
  <sheetViews>
    <sheetView topLeftCell="A17" workbookViewId="0">
      <selection activeCell="B2" sqref="B2:B43"/>
    </sheetView>
  </sheetViews>
  <sheetFormatPr defaultRowHeight="13.5" x14ac:dyDescent="0.3"/>
  <cols>
    <col min="1" max="1" width="51.796875" bestFit="1" customWidth="1"/>
    <col min="2" max="2" width="13" bestFit="1" customWidth="1"/>
    <col min="3" max="3" width="96.796875" bestFit="1" customWidth="1"/>
  </cols>
  <sheetData>
    <row r="1" spans="1:3" ht="15.75" x14ac:dyDescent="0.3">
      <c r="A1" s="2" t="s">
        <v>2</v>
      </c>
      <c r="B1" s="2" t="s">
        <v>3</v>
      </c>
    </row>
    <row r="2" spans="1:3" ht="15.75" x14ac:dyDescent="0.3">
      <c r="A2" s="6" t="s">
        <v>40</v>
      </c>
      <c r="B2" s="9">
        <v>10090</v>
      </c>
      <c r="C2" t="s">
        <v>40</v>
      </c>
    </row>
    <row r="3" spans="1:3" ht="15.75" x14ac:dyDescent="0.3">
      <c r="A3" s="7" t="s">
        <v>41</v>
      </c>
      <c r="B3" s="9">
        <v>8811</v>
      </c>
      <c r="C3" t="s">
        <v>41</v>
      </c>
    </row>
    <row r="4" spans="1:3" ht="15.75" x14ac:dyDescent="0.3">
      <c r="A4" s="24" t="s">
        <v>10</v>
      </c>
      <c r="B4" s="9">
        <v>4461</v>
      </c>
      <c r="C4" t="s">
        <v>81</v>
      </c>
    </row>
    <row r="5" spans="1:3" ht="15.75" x14ac:dyDescent="0.3">
      <c r="A5" s="8" t="s">
        <v>42</v>
      </c>
      <c r="B5" s="4">
        <v>2871</v>
      </c>
      <c r="C5" t="s">
        <v>73</v>
      </c>
    </row>
    <row r="6" spans="1:3" ht="15.75" x14ac:dyDescent="0.3">
      <c r="A6" s="8" t="s">
        <v>43</v>
      </c>
      <c r="B6" s="9">
        <v>2114</v>
      </c>
      <c r="C6" t="s">
        <v>74</v>
      </c>
    </row>
    <row r="7" spans="1:3" ht="15.75" x14ac:dyDescent="0.3">
      <c r="A7" s="10" t="s">
        <v>44</v>
      </c>
      <c r="B7" s="9">
        <v>8596</v>
      </c>
      <c r="C7" t="s">
        <v>75</v>
      </c>
    </row>
    <row r="8" spans="1:3" ht="15.75" x14ac:dyDescent="0.3">
      <c r="A8" s="23" t="s">
        <v>20</v>
      </c>
      <c r="B8" s="9">
        <v>7268</v>
      </c>
      <c r="C8" t="s">
        <v>82</v>
      </c>
    </row>
    <row r="9" spans="1:3" ht="15.75" x14ac:dyDescent="0.3">
      <c r="A9" s="11" t="s">
        <v>45</v>
      </c>
      <c r="B9" s="9">
        <v>1443</v>
      </c>
      <c r="C9" t="s">
        <v>76</v>
      </c>
    </row>
    <row r="10" spans="1:3" ht="15.75" x14ac:dyDescent="0.3">
      <c r="A10" s="12" t="s">
        <v>46</v>
      </c>
      <c r="B10" s="9">
        <v>1533</v>
      </c>
      <c r="C10" t="s">
        <v>77</v>
      </c>
    </row>
    <row r="11" spans="1:3" ht="15.75" x14ac:dyDescent="0.3">
      <c r="A11" s="19" t="s">
        <v>72</v>
      </c>
      <c r="B11" s="9">
        <v>5472</v>
      </c>
      <c r="C11" t="s">
        <v>72</v>
      </c>
    </row>
    <row r="12" spans="1:3" ht="15.75" x14ac:dyDescent="0.3">
      <c r="A12" s="13" t="s">
        <v>47</v>
      </c>
      <c r="B12" s="9">
        <v>41969</v>
      </c>
      <c r="C12" t="s">
        <v>47</v>
      </c>
    </row>
    <row r="13" spans="1:3" ht="15.75" x14ac:dyDescent="0.3">
      <c r="A13" s="12" t="s">
        <v>48</v>
      </c>
      <c r="B13" s="9">
        <v>76944</v>
      </c>
      <c r="C13" t="s">
        <v>78</v>
      </c>
    </row>
    <row r="14" spans="1:3" ht="15.75" x14ac:dyDescent="0.3">
      <c r="A14" s="22" t="s">
        <v>71</v>
      </c>
      <c r="B14" s="9">
        <v>37049</v>
      </c>
      <c r="C14" t="s">
        <v>83</v>
      </c>
    </row>
    <row r="15" spans="1:3" ht="15.75" x14ac:dyDescent="0.3">
      <c r="A15" s="22" t="s">
        <v>69</v>
      </c>
      <c r="B15" s="9">
        <v>93674</v>
      </c>
      <c r="C15" t="s">
        <v>69</v>
      </c>
    </row>
    <row r="16" spans="1:3" ht="15.75" x14ac:dyDescent="0.3">
      <c r="A16" s="22" t="s">
        <v>70</v>
      </c>
      <c r="B16" s="9">
        <v>6451</v>
      </c>
      <c r="C16" t="s">
        <v>84</v>
      </c>
    </row>
    <row r="17" spans="1:3" ht="15.75" x14ac:dyDescent="0.3">
      <c r="A17" s="21" t="s">
        <v>67</v>
      </c>
      <c r="B17" s="9">
        <v>4199</v>
      </c>
      <c r="C17" t="s">
        <v>85</v>
      </c>
    </row>
    <row r="18" spans="1:3" ht="15.75" x14ac:dyDescent="0.3">
      <c r="A18" s="21" t="s">
        <v>68</v>
      </c>
      <c r="B18" s="9">
        <v>1903</v>
      </c>
      <c r="C18" t="s">
        <v>86</v>
      </c>
    </row>
    <row r="19" spans="1:3" ht="15.75" x14ac:dyDescent="0.3">
      <c r="A19" s="20" t="s">
        <v>66</v>
      </c>
      <c r="B19" s="9">
        <v>5756</v>
      </c>
      <c r="C19" t="s">
        <v>66</v>
      </c>
    </row>
    <row r="20" spans="1:3" ht="15.75" x14ac:dyDescent="0.3">
      <c r="A20" s="21" t="s">
        <v>65</v>
      </c>
      <c r="B20" s="9">
        <v>4632</v>
      </c>
      <c r="C20" t="s">
        <v>87</v>
      </c>
    </row>
    <row r="21" spans="1:3" ht="15.75" x14ac:dyDescent="0.3">
      <c r="A21" s="20" t="s">
        <v>64</v>
      </c>
      <c r="B21" s="9">
        <v>6721</v>
      </c>
      <c r="C21" t="s">
        <v>88</v>
      </c>
    </row>
    <row r="22" spans="1:3" ht="15.75" x14ac:dyDescent="0.3">
      <c r="A22" s="19" t="s">
        <v>63</v>
      </c>
      <c r="B22" s="9">
        <v>298</v>
      </c>
      <c r="C22" t="s">
        <v>89</v>
      </c>
    </row>
    <row r="23" spans="1:3" ht="15.75" x14ac:dyDescent="0.3">
      <c r="A23" s="17" t="s">
        <v>61</v>
      </c>
      <c r="B23" s="9">
        <v>3061</v>
      </c>
      <c r="C23" t="s">
        <v>90</v>
      </c>
    </row>
    <row r="24" spans="1:3" ht="15.75" x14ac:dyDescent="0.3">
      <c r="A24" s="18" t="s">
        <v>62</v>
      </c>
      <c r="B24" s="9">
        <v>115</v>
      </c>
      <c r="C24" t="s">
        <v>91</v>
      </c>
    </row>
    <row r="25" spans="1:3" ht="15.75" x14ac:dyDescent="0.3">
      <c r="A25" s="7" t="s">
        <v>53</v>
      </c>
      <c r="B25" s="9">
        <v>34378</v>
      </c>
      <c r="C25" t="s">
        <v>53</v>
      </c>
    </row>
    <row r="26" spans="1:3" ht="15.75" x14ac:dyDescent="0.3">
      <c r="A26" s="7" t="s">
        <v>54</v>
      </c>
      <c r="B26" s="9">
        <v>1792</v>
      </c>
      <c r="C26" t="s">
        <v>54</v>
      </c>
    </row>
    <row r="27" spans="1:3" ht="15.75" x14ac:dyDescent="0.45">
      <c r="A27" s="7" t="s">
        <v>55</v>
      </c>
      <c r="B27" s="9">
        <v>2268</v>
      </c>
      <c r="C27" s="25" t="s">
        <v>92</v>
      </c>
    </row>
    <row r="28" spans="1:3" ht="15.75" x14ac:dyDescent="0.3">
      <c r="A28" s="7" t="s">
        <v>56</v>
      </c>
      <c r="B28" s="9">
        <v>8371</v>
      </c>
      <c r="C28" t="s">
        <v>56</v>
      </c>
    </row>
    <row r="29" spans="1:3" ht="15.75" x14ac:dyDescent="0.3">
      <c r="A29" s="13"/>
      <c r="B29" s="9">
        <f>'2020居民消费支出'!D28*'2022年度数据'!B30</f>
        <v>6873.1235265945197</v>
      </c>
      <c r="C29" s="26" t="s">
        <v>93</v>
      </c>
    </row>
    <row r="30" spans="1:3" ht="15.75" x14ac:dyDescent="0.3">
      <c r="A30" s="15"/>
      <c r="B30" s="9">
        <v>40434</v>
      </c>
      <c r="C30" t="s">
        <v>58</v>
      </c>
    </row>
    <row r="31" spans="1:3" ht="15.75" x14ac:dyDescent="0.3">
      <c r="A31" s="16"/>
      <c r="B31" s="9">
        <f>'2020居民消费支出'!D30*'2022年度数据'!B30</f>
        <v>8468.8764734054821</v>
      </c>
      <c r="C31" s="26" t="s">
        <v>94</v>
      </c>
    </row>
    <row r="32" spans="1:3" x14ac:dyDescent="0.3">
      <c r="B32">
        <f>'2020居民消费支出'!F$31*'2022年度数据'!$B31</f>
        <v>3136.7204594859327</v>
      </c>
      <c r="C32" t="s">
        <v>95</v>
      </c>
    </row>
    <row r="33" spans="2:3" x14ac:dyDescent="0.3">
      <c r="B33">
        <f>'2020居民消费支出'!F32*'2022年度数据'!B31</f>
        <v>6215.9557181488199</v>
      </c>
      <c r="C33" t="s">
        <v>96</v>
      </c>
    </row>
    <row r="34" spans="2:3" x14ac:dyDescent="0.3">
      <c r="B34">
        <f>'2020居民消费支出'!F33*'2022年度数据'!B31</f>
        <v>10293.738670708755</v>
      </c>
      <c r="C34" t="s">
        <v>97</v>
      </c>
    </row>
    <row r="35" spans="2:3" x14ac:dyDescent="0.3">
      <c r="B35">
        <f>'2020居民消费支出'!F34*'2022年度数据'!B31</f>
        <v>812.7782669789076</v>
      </c>
      <c r="C35" t="s">
        <v>98</v>
      </c>
    </row>
    <row r="36" spans="2:3" x14ac:dyDescent="0.3">
      <c r="B36">
        <f>'2020居民消费支出'!F35*'2022年度数据'!B31</f>
        <v>0</v>
      </c>
      <c r="C36" t="s">
        <v>99</v>
      </c>
    </row>
    <row r="37" spans="2:3" x14ac:dyDescent="0.3">
      <c r="B37">
        <f>'2020居民消费支出'!F36*'2022年度数据'!B31</f>
        <v>64.621945278453509</v>
      </c>
      <c r="C37" t="s">
        <v>100</v>
      </c>
    </row>
    <row r="38" spans="2:3" x14ac:dyDescent="0.3">
      <c r="B38">
        <f>'2020居民消费支出'!F37*'2022年度数据'!B31</f>
        <v>94.83820778464991</v>
      </c>
      <c r="C38" t="s">
        <v>101</v>
      </c>
    </row>
    <row r="39" spans="2:3" x14ac:dyDescent="0.3">
      <c r="B39">
        <f>'2020居民消费支出'!F38*'2022年度数据'!B31</f>
        <v>2982.4389672410875</v>
      </c>
      <c r="C39" t="s">
        <v>102</v>
      </c>
    </row>
    <row r="40" spans="2:3" x14ac:dyDescent="0.3">
      <c r="B40">
        <f>'2020居民消费支出'!F39*'2022年度数据'!B31</f>
        <v>3974.6069653033037</v>
      </c>
      <c r="C40" t="s">
        <v>103</v>
      </c>
    </row>
    <row r="41" spans="2:3" x14ac:dyDescent="0.3">
      <c r="B41">
        <f>'2020居民消费支出'!F40*'2022年度数据'!B31</f>
        <v>3058.0427750988083</v>
      </c>
      <c r="C41" t="s">
        <v>104</v>
      </c>
    </row>
    <row r="42" spans="2:3" x14ac:dyDescent="0.3">
      <c r="B42">
        <f>'2020居民消费支出'!F41*'2022年度数据'!B31</f>
        <v>1668.9228974032633</v>
      </c>
      <c r="C42" t="s">
        <v>105</v>
      </c>
    </row>
    <row r="43" spans="2:3" x14ac:dyDescent="0.3">
      <c r="B43">
        <f>'2020居民消费支出'!F42*'2022年度数据'!B31</f>
        <v>72.335126568021892</v>
      </c>
      <c r="C43" t="s">
        <v>106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4C7B-16DB-42B4-88AF-902FBD76C96B}">
  <dimension ref="A1:E44"/>
  <sheetViews>
    <sheetView tabSelected="1" workbookViewId="0">
      <selection activeCell="F1" sqref="F1"/>
    </sheetView>
  </sheetViews>
  <sheetFormatPr defaultRowHeight="13.5" x14ac:dyDescent="0.3"/>
  <cols>
    <col min="1" max="1" width="28.6640625" customWidth="1"/>
    <col min="2" max="2" width="25.86328125" bestFit="1" customWidth="1"/>
    <col min="4" max="4" width="10.19921875" bestFit="1" customWidth="1"/>
  </cols>
  <sheetData>
    <row r="1" spans="1:5" ht="64.900000000000006" x14ac:dyDescent="0.3">
      <c r="A1" s="34" t="s">
        <v>128</v>
      </c>
      <c r="B1" s="34" t="s">
        <v>129</v>
      </c>
      <c r="C1" s="42" t="s">
        <v>147</v>
      </c>
      <c r="D1" s="42" t="s">
        <v>148</v>
      </c>
      <c r="E1" s="42" t="s">
        <v>146</v>
      </c>
    </row>
    <row r="2" spans="1:5" x14ac:dyDescent="0.3">
      <c r="A2" s="29" t="s">
        <v>130</v>
      </c>
      <c r="B2" s="35" t="s">
        <v>131</v>
      </c>
      <c r="C2">
        <v>10090</v>
      </c>
      <c r="D2" s="43">
        <v>1597810336.6723599</v>
      </c>
      <c r="E2">
        <f>C2/D2*10000</f>
        <v>6.3148921798901914E-2</v>
      </c>
    </row>
    <row r="3" spans="1:5" x14ac:dyDescent="0.3">
      <c r="A3" s="29" t="s">
        <v>107</v>
      </c>
      <c r="B3" s="22" t="s">
        <v>132</v>
      </c>
      <c r="C3">
        <v>8811</v>
      </c>
      <c r="D3" s="43">
        <v>370559694.19949102</v>
      </c>
      <c r="E3">
        <f t="shared" ref="E3:E43" si="0">C3/D3*10000</f>
        <v>0.23777545528890126</v>
      </c>
    </row>
    <row r="4" spans="1:5" x14ac:dyDescent="0.3">
      <c r="A4" s="29" t="s">
        <v>112</v>
      </c>
      <c r="B4" s="22" t="s">
        <v>112</v>
      </c>
      <c r="C4">
        <v>4461</v>
      </c>
      <c r="D4" s="43">
        <v>164652921.96522701</v>
      </c>
      <c r="E4">
        <f t="shared" si="0"/>
        <v>0.27093354595566282</v>
      </c>
    </row>
    <row r="5" spans="1:5" x14ac:dyDescent="0.3">
      <c r="A5" s="29" t="s">
        <v>133</v>
      </c>
      <c r="B5" s="22" t="s">
        <v>73</v>
      </c>
      <c r="C5">
        <v>2871</v>
      </c>
      <c r="D5" s="43">
        <v>120299609.00350501</v>
      </c>
      <c r="E5">
        <f t="shared" si="0"/>
        <v>0.23865414225214576</v>
      </c>
    </row>
    <row r="6" spans="1:5" x14ac:dyDescent="0.3">
      <c r="A6" s="29" t="s">
        <v>134</v>
      </c>
      <c r="B6" s="22" t="s">
        <v>74</v>
      </c>
      <c r="C6">
        <v>2114</v>
      </c>
      <c r="D6" s="43">
        <v>84842776.964738399</v>
      </c>
      <c r="E6">
        <f t="shared" si="0"/>
        <v>0.24916676181858141</v>
      </c>
    </row>
    <row r="7" spans="1:5" x14ac:dyDescent="0.3">
      <c r="A7" s="29" t="s">
        <v>135</v>
      </c>
      <c r="B7" s="35" t="s">
        <v>75</v>
      </c>
      <c r="C7">
        <v>8596</v>
      </c>
      <c r="D7" s="43">
        <v>1147115328.23686</v>
      </c>
      <c r="E7">
        <f t="shared" si="0"/>
        <v>7.4935795803654975E-2</v>
      </c>
    </row>
    <row r="8" spans="1:5" x14ac:dyDescent="0.3">
      <c r="A8" s="29" t="s">
        <v>136</v>
      </c>
      <c r="B8" s="36" t="s">
        <v>137</v>
      </c>
      <c r="C8">
        <v>7268</v>
      </c>
      <c r="D8" s="43">
        <v>306286797.77260298</v>
      </c>
      <c r="E8">
        <f t="shared" si="0"/>
        <v>0.23729393669119206</v>
      </c>
    </row>
    <row r="9" spans="1:5" x14ac:dyDescent="0.3">
      <c r="A9" s="29" t="s">
        <v>76</v>
      </c>
      <c r="B9" s="36" t="s">
        <v>76</v>
      </c>
      <c r="C9">
        <v>1443</v>
      </c>
      <c r="D9" s="43">
        <v>335630636.25434297</v>
      </c>
      <c r="E9">
        <f t="shared" si="0"/>
        <v>4.2993691401475208E-2</v>
      </c>
    </row>
    <row r="10" spans="1:5" x14ac:dyDescent="0.3">
      <c r="A10" s="29" t="s">
        <v>77</v>
      </c>
      <c r="B10" s="21" t="s">
        <v>77</v>
      </c>
      <c r="C10">
        <v>1533</v>
      </c>
      <c r="D10" s="43">
        <v>291469267.970397</v>
      </c>
      <c r="E10">
        <f t="shared" si="0"/>
        <v>5.2595596464588459E-2</v>
      </c>
    </row>
    <row r="11" spans="1:5" x14ac:dyDescent="0.3">
      <c r="A11" s="29" t="s">
        <v>72</v>
      </c>
      <c r="B11" s="19" t="s">
        <v>72</v>
      </c>
      <c r="C11">
        <v>5472</v>
      </c>
      <c r="D11" s="43">
        <v>453790945.15894902</v>
      </c>
      <c r="E11">
        <f t="shared" si="0"/>
        <v>0.1205841601375128</v>
      </c>
    </row>
    <row r="12" spans="1:5" ht="33.75" x14ac:dyDescent="0.3">
      <c r="A12" s="29" t="s">
        <v>117</v>
      </c>
      <c r="B12" s="37" t="s">
        <v>138</v>
      </c>
      <c r="C12">
        <v>41969</v>
      </c>
      <c r="D12" s="43">
        <v>564365764.93715405</v>
      </c>
      <c r="E12">
        <f t="shared" si="0"/>
        <v>0.74364893491853701</v>
      </c>
    </row>
    <row r="13" spans="1:5" ht="22.5" x14ac:dyDescent="0.3">
      <c r="A13" s="29" t="s">
        <v>139</v>
      </c>
      <c r="B13" s="38" t="s">
        <v>140</v>
      </c>
      <c r="C13">
        <v>76944</v>
      </c>
      <c r="D13" s="43">
        <v>1790123235.4681599</v>
      </c>
      <c r="E13">
        <f t="shared" si="0"/>
        <v>0.42982515658972109</v>
      </c>
    </row>
    <row r="14" spans="1:5" x14ac:dyDescent="0.3">
      <c r="A14" s="29" t="s">
        <v>71</v>
      </c>
      <c r="B14" s="22" t="s">
        <v>71</v>
      </c>
      <c r="C14">
        <v>37049</v>
      </c>
      <c r="D14" s="43">
        <v>734357668.09305</v>
      </c>
      <c r="E14">
        <f t="shared" si="0"/>
        <v>0.50450892813861847</v>
      </c>
    </row>
    <row r="15" spans="1:5" x14ac:dyDescent="0.3">
      <c r="A15" s="29" t="s">
        <v>69</v>
      </c>
      <c r="B15" s="22" t="s">
        <v>69</v>
      </c>
      <c r="C15">
        <v>93674</v>
      </c>
      <c r="D15" s="43">
        <v>1521368055.86111</v>
      </c>
      <c r="E15">
        <f t="shared" si="0"/>
        <v>0.61572214323232621</v>
      </c>
    </row>
    <row r="16" spans="1:5" x14ac:dyDescent="0.3">
      <c r="A16" s="29" t="s">
        <v>70</v>
      </c>
      <c r="B16" s="22" t="s">
        <v>70</v>
      </c>
      <c r="C16">
        <v>6451</v>
      </c>
      <c r="D16" s="43">
        <v>666412467.57540202</v>
      </c>
      <c r="E16">
        <f t="shared" si="0"/>
        <v>9.6801910436498453E-2</v>
      </c>
    </row>
    <row r="17" spans="1:5" x14ac:dyDescent="0.3">
      <c r="A17" s="29" t="s">
        <v>79</v>
      </c>
      <c r="B17" s="21" t="s">
        <v>141</v>
      </c>
      <c r="C17">
        <v>4199</v>
      </c>
      <c r="D17" s="43">
        <v>680962810.42057097</v>
      </c>
      <c r="E17">
        <f t="shared" si="0"/>
        <v>6.1662691937708701E-2</v>
      </c>
    </row>
    <row r="18" spans="1:5" x14ac:dyDescent="0.3">
      <c r="A18" s="29" t="s">
        <v>142</v>
      </c>
      <c r="B18" s="21" t="s">
        <v>142</v>
      </c>
      <c r="C18">
        <v>1903</v>
      </c>
      <c r="D18" s="43">
        <v>506447106.77185702</v>
      </c>
      <c r="E18">
        <f t="shared" si="0"/>
        <v>3.7575493562001107E-2</v>
      </c>
    </row>
    <row r="19" spans="1:5" x14ac:dyDescent="0.3">
      <c r="A19" s="29" t="s">
        <v>66</v>
      </c>
      <c r="B19" s="20" t="s">
        <v>66</v>
      </c>
      <c r="C19">
        <v>5756</v>
      </c>
      <c r="D19" s="43">
        <v>1231767993.41799</v>
      </c>
      <c r="E19">
        <f t="shared" si="0"/>
        <v>4.6729579196386463E-2</v>
      </c>
    </row>
    <row r="20" spans="1:5" x14ac:dyDescent="0.3">
      <c r="A20" s="29" t="s">
        <v>65</v>
      </c>
      <c r="B20" s="21" t="s">
        <v>65</v>
      </c>
      <c r="C20">
        <v>4632</v>
      </c>
      <c r="D20" s="43">
        <v>1137639562.67418</v>
      </c>
      <c r="E20">
        <f t="shared" si="0"/>
        <v>4.0715883588927235E-2</v>
      </c>
    </row>
    <row r="21" spans="1:5" ht="27" x14ac:dyDescent="0.3">
      <c r="A21" s="29" t="s">
        <v>64</v>
      </c>
      <c r="B21" s="20" t="s">
        <v>64</v>
      </c>
      <c r="C21">
        <v>6721</v>
      </c>
      <c r="D21" s="43">
        <v>1529048196.42538</v>
      </c>
      <c r="E21">
        <f t="shared" si="0"/>
        <v>4.395544898919735E-2</v>
      </c>
    </row>
    <row r="22" spans="1:5" x14ac:dyDescent="0.3">
      <c r="A22" s="29" t="s">
        <v>63</v>
      </c>
      <c r="B22" s="19" t="s">
        <v>63</v>
      </c>
      <c r="C22">
        <v>298</v>
      </c>
      <c r="D22" s="43">
        <v>133798641.300432</v>
      </c>
      <c r="E22">
        <f t="shared" si="0"/>
        <v>2.2272274000964602E-2</v>
      </c>
    </row>
    <row r="23" spans="1:5" x14ac:dyDescent="0.3">
      <c r="A23" s="29" t="s">
        <v>80</v>
      </c>
      <c r="B23" s="17" t="s">
        <v>143</v>
      </c>
      <c r="C23">
        <v>3061</v>
      </c>
      <c r="D23" s="43">
        <v>178755292.85782501</v>
      </c>
      <c r="E23">
        <f t="shared" si="0"/>
        <v>0.17123968477031892</v>
      </c>
    </row>
    <row r="24" spans="1:5" x14ac:dyDescent="0.3">
      <c r="A24" s="29" t="s">
        <v>62</v>
      </c>
      <c r="B24" s="18" t="s">
        <v>62</v>
      </c>
      <c r="C24">
        <v>115</v>
      </c>
      <c r="D24" s="43">
        <v>49418635.415084302</v>
      </c>
      <c r="E24">
        <f t="shared" si="0"/>
        <v>2.327057374896636E-2</v>
      </c>
    </row>
    <row r="25" spans="1:5" x14ac:dyDescent="0.3">
      <c r="A25" s="29" t="s">
        <v>120</v>
      </c>
      <c r="B25" s="22" t="s">
        <v>144</v>
      </c>
      <c r="C25">
        <v>34378</v>
      </c>
      <c r="D25" s="43">
        <v>1001757570.8655699</v>
      </c>
      <c r="E25">
        <f t="shared" si="0"/>
        <v>0.34317684238009444</v>
      </c>
    </row>
    <row r="26" spans="1:5" x14ac:dyDescent="0.3">
      <c r="A26" s="29" t="s">
        <v>108</v>
      </c>
      <c r="B26" s="22" t="s">
        <v>108</v>
      </c>
      <c r="C26">
        <v>1792</v>
      </c>
      <c r="D26" s="43">
        <v>211392894.257947</v>
      </c>
      <c r="E26">
        <f t="shared" si="0"/>
        <v>8.4771061311708806E-2</v>
      </c>
    </row>
    <row r="27" spans="1:5" x14ac:dyDescent="0.3">
      <c r="A27" s="29" t="s">
        <v>109</v>
      </c>
      <c r="B27" s="22" t="s">
        <v>109</v>
      </c>
      <c r="C27">
        <v>2268</v>
      </c>
      <c r="D27" s="43">
        <v>59466328.2430925</v>
      </c>
      <c r="E27">
        <f t="shared" si="0"/>
        <v>0.38139230502489391</v>
      </c>
    </row>
    <row r="28" spans="1:5" x14ac:dyDescent="0.3">
      <c r="A28" s="29" t="s">
        <v>121</v>
      </c>
      <c r="B28" s="22" t="s">
        <v>121</v>
      </c>
      <c r="C28">
        <v>8371</v>
      </c>
      <c r="D28" s="43">
        <v>3087113754.1504998</v>
      </c>
      <c r="E28">
        <f t="shared" si="0"/>
        <v>2.7115942808215374E-2</v>
      </c>
    </row>
    <row r="29" spans="1:5" x14ac:dyDescent="0.3">
      <c r="A29" s="29" t="s">
        <v>122</v>
      </c>
      <c r="B29" s="18" t="s">
        <v>122</v>
      </c>
      <c r="C29">
        <v>6873.1235265945197</v>
      </c>
      <c r="D29" s="43">
        <v>1842841494.6945801</v>
      </c>
      <c r="E29">
        <f t="shared" si="0"/>
        <v>3.7296335829108428E-2</v>
      </c>
    </row>
    <row r="30" spans="1:5" x14ac:dyDescent="0.3">
      <c r="A30" s="29" t="s">
        <v>123</v>
      </c>
      <c r="B30" s="20" t="s">
        <v>123</v>
      </c>
      <c r="C30">
        <v>40434</v>
      </c>
      <c r="D30" s="43">
        <v>1588420918.1682799</v>
      </c>
      <c r="E30">
        <f t="shared" si="0"/>
        <v>0.25455469351679966</v>
      </c>
    </row>
    <row r="31" spans="1:5" x14ac:dyDescent="0.3">
      <c r="A31" s="29" t="s">
        <v>124</v>
      </c>
      <c r="B31" s="18" t="s">
        <v>124</v>
      </c>
      <c r="C31">
        <v>8468.8764734054821</v>
      </c>
      <c r="D31" s="43">
        <v>649094157.26144803</v>
      </c>
      <c r="E31">
        <f t="shared" si="0"/>
        <v>0.13047223393807736</v>
      </c>
    </row>
    <row r="32" spans="1:5" x14ac:dyDescent="0.3">
      <c r="A32" s="29" t="s">
        <v>95</v>
      </c>
      <c r="B32" s="18" t="s">
        <v>145</v>
      </c>
      <c r="C32">
        <v>3136.7204594859327</v>
      </c>
      <c r="D32" s="43">
        <v>1676095138.3076601</v>
      </c>
      <c r="E32">
        <f t="shared" si="0"/>
        <v>1.8714453540227164E-2</v>
      </c>
    </row>
    <row r="33" spans="1:5" x14ac:dyDescent="0.3">
      <c r="A33" s="29" t="s">
        <v>96</v>
      </c>
      <c r="B33" s="18" t="s">
        <v>96</v>
      </c>
      <c r="C33">
        <v>6215.9557181488199</v>
      </c>
      <c r="D33" s="43">
        <v>1271275753.8885801</v>
      </c>
      <c r="E33">
        <f t="shared" si="0"/>
        <v>4.889541627090304E-2</v>
      </c>
    </row>
    <row r="34" spans="1:5" x14ac:dyDescent="0.3">
      <c r="A34" s="29" t="s">
        <v>97</v>
      </c>
      <c r="B34" s="18" t="s">
        <v>97</v>
      </c>
      <c r="C34">
        <v>10293.738670708755</v>
      </c>
      <c r="D34" s="43">
        <v>1233587673.2314899</v>
      </c>
      <c r="E34">
        <f t="shared" si="0"/>
        <v>8.3445537711506257E-2</v>
      </c>
    </row>
    <row r="35" spans="1:5" x14ac:dyDescent="0.3">
      <c r="A35" s="29" t="s">
        <v>98</v>
      </c>
      <c r="B35" s="18" t="s">
        <v>98</v>
      </c>
      <c r="C35">
        <v>812.7782669789076</v>
      </c>
      <c r="D35" s="43">
        <v>1472783223.12462</v>
      </c>
      <c r="E35">
        <f t="shared" si="0"/>
        <v>5.5186551164979839E-3</v>
      </c>
    </row>
    <row r="36" spans="1:5" x14ac:dyDescent="0.3">
      <c r="A36" s="29" t="s">
        <v>99</v>
      </c>
      <c r="B36" s="18" t="s">
        <v>99</v>
      </c>
      <c r="C36">
        <v>0</v>
      </c>
      <c r="D36" s="43">
        <v>305729133.20561999</v>
      </c>
      <c r="E36">
        <f t="shared" si="0"/>
        <v>0</v>
      </c>
    </row>
    <row r="37" spans="1:5" x14ac:dyDescent="0.3">
      <c r="A37" s="29" t="s">
        <v>100</v>
      </c>
      <c r="B37" s="18" t="s">
        <v>100</v>
      </c>
      <c r="C37">
        <v>64.621945278453509</v>
      </c>
      <c r="D37" s="43">
        <v>679440931.70865595</v>
      </c>
      <c r="E37">
        <f t="shared" si="0"/>
        <v>9.5110468419885212E-4</v>
      </c>
    </row>
    <row r="38" spans="1:5" x14ac:dyDescent="0.3">
      <c r="A38" s="29" t="s">
        <v>101</v>
      </c>
      <c r="B38" s="22" t="s">
        <v>101</v>
      </c>
      <c r="C38">
        <v>94.83820778464991</v>
      </c>
      <c r="D38" s="43">
        <v>150466778.02503699</v>
      </c>
      <c r="E38">
        <f t="shared" si="0"/>
        <v>6.3029333803418892E-3</v>
      </c>
    </row>
    <row r="39" spans="1:5" x14ac:dyDescent="0.3">
      <c r="A39" s="29" t="s">
        <v>102</v>
      </c>
      <c r="B39" s="22" t="s">
        <v>102</v>
      </c>
      <c r="C39">
        <v>2982.4389672410875</v>
      </c>
      <c r="D39" s="43">
        <v>492510416.26381803</v>
      </c>
      <c r="E39">
        <f t="shared" si="0"/>
        <v>6.0555855648005516E-2</v>
      </c>
    </row>
    <row r="40" spans="1:5" x14ac:dyDescent="0.3">
      <c r="A40" s="29" t="s">
        <v>103</v>
      </c>
      <c r="B40" s="19" t="s">
        <v>103</v>
      </c>
      <c r="C40">
        <v>3974.6069653033037</v>
      </c>
      <c r="D40" s="43">
        <v>634757435.59207702</v>
      </c>
      <c r="E40">
        <f t="shared" si="0"/>
        <v>6.2616154493660162E-2</v>
      </c>
    </row>
    <row r="41" spans="1:5" x14ac:dyDescent="0.3">
      <c r="A41" s="29" t="s">
        <v>104</v>
      </c>
      <c r="B41" s="39" t="s">
        <v>104</v>
      </c>
      <c r="C41">
        <v>3058.0427750988083</v>
      </c>
      <c r="D41" s="43">
        <v>629731956.66444099</v>
      </c>
      <c r="E41">
        <f t="shared" si="0"/>
        <v>4.856102255468539E-2</v>
      </c>
    </row>
    <row r="42" spans="1:5" x14ac:dyDescent="0.3">
      <c r="A42" s="29" t="s">
        <v>105</v>
      </c>
      <c r="B42" s="19" t="s">
        <v>105</v>
      </c>
      <c r="C42">
        <v>1668.9228974032633</v>
      </c>
      <c r="D42" s="43">
        <v>230439767.11471</v>
      </c>
      <c r="E42">
        <f t="shared" si="0"/>
        <v>7.2423389343753961E-2</v>
      </c>
    </row>
    <row r="43" spans="1:5" ht="13.9" thickBot="1" x14ac:dyDescent="0.35">
      <c r="A43" s="40" t="s">
        <v>106</v>
      </c>
      <c r="B43" s="41" t="s">
        <v>106</v>
      </c>
      <c r="C43">
        <v>72.335126568021892</v>
      </c>
      <c r="D43" s="44">
        <v>1000792803.77861</v>
      </c>
      <c r="E43">
        <f t="shared" si="0"/>
        <v>7.2277824435699567E-4</v>
      </c>
    </row>
    <row r="44" spans="1:5" ht="13.9" thickTop="1" x14ac:dyDescent="0.3"/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BE7A-AE16-4EF8-9898-B25B093678A2}">
  <dimension ref="A1:F42"/>
  <sheetViews>
    <sheetView topLeftCell="A22" workbookViewId="0">
      <selection activeCell="F32" sqref="F32"/>
    </sheetView>
  </sheetViews>
  <sheetFormatPr defaultRowHeight="13.5" x14ac:dyDescent="0.3"/>
  <cols>
    <col min="1" max="1" width="21.33203125" customWidth="1"/>
    <col min="6" max="6" width="11.1328125" bestFit="1" customWidth="1"/>
  </cols>
  <sheetData>
    <row r="1" spans="1:2" x14ac:dyDescent="0.3">
      <c r="A1" s="27" t="s">
        <v>110</v>
      </c>
      <c r="B1" s="28">
        <v>505818140.02432567</v>
      </c>
    </row>
    <row r="2" spans="1:2" x14ac:dyDescent="0.3">
      <c r="A2" s="29" t="s">
        <v>111</v>
      </c>
      <c r="B2" s="30">
        <v>474648.35004024103</v>
      </c>
    </row>
    <row r="3" spans="1:2" x14ac:dyDescent="0.3">
      <c r="A3" s="31" t="s">
        <v>112</v>
      </c>
      <c r="B3" s="28">
        <v>0</v>
      </c>
    </row>
    <row r="4" spans="1:2" x14ac:dyDescent="0.3">
      <c r="A4" s="31" t="s">
        <v>113</v>
      </c>
      <c r="B4" s="28">
        <v>0</v>
      </c>
    </row>
    <row r="5" spans="1:2" ht="27" x14ac:dyDescent="0.3">
      <c r="A5" s="31" t="s">
        <v>114</v>
      </c>
      <c r="B5" s="28">
        <v>0</v>
      </c>
    </row>
    <row r="6" spans="1:2" x14ac:dyDescent="0.3">
      <c r="A6" s="31" t="s">
        <v>115</v>
      </c>
      <c r="B6" s="28">
        <v>485292372.28576976</v>
      </c>
    </row>
    <row r="7" spans="1:2" x14ac:dyDescent="0.3">
      <c r="A7" s="31" t="s">
        <v>116</v>
      </c>
      <c r="B7" s="28">
        <v>13745625.416978864</v>
      </c>
    </row>
    <row r="8" spans="1:2" ht="27" x14ac:dyDescent="0.3">
      <c r="A8" s="31" t="s">
        <v>76</v>
      </c>
      <c r="B8" s="28">
        <v>148987267.60753599</v>
      </c>
    </row>
    <row r="9" spans="1:2" x14ac:dyDescent="0.3">
      <c r="A9" s="31" t="s">
        <v>77</v>
      </c>
      <c r="B9" s="28">
        <v>22882952.110554364</v>
      </c>
    </row>
    <row r="10" spans="1:2" ht="27" x14ac:dyDescent="0.3">
      <c r="A10" s="31" t="s">
        <v>72</v>
      </c>
      <c r="B10" s="28">
        <v>52017008.079989769</v>
      </c>
    </row>
    <row r="11" spans="1:2" ht="27" x14ac:dyDescent="0.3">
      <c r="A11" s="31" t="s">
        <v>117</v>
      </c>
      <c r="B11" s="28">
        <v>39344774.907672383</v>
      </c>
    </row>
    <row r="12" spans="1:2" x14ac:dyDescent="0.3">
      <c r="A12" s="31" t="s">
        <v>78</v>
      </c>
      <c r="B12" s="28">
        <v>152455046.47687909</v>
      </c>
    </row>
    <row r="13" spans="1:2" x14ac:dyDescent="0.3">
      <c r="A13" s="31" t="s">
        <v>118</v>
      </c>
      <c r="B13" s="28">
        <v>4827698.8737336975</v>
      </c>
    </row>
    <row r="14" spans="1:2" x14ac:dyDescent="0.3">
      <c r="A14" s="31" t="s">
        <v>69</v>
      </c>
      <c r="B14" s="28">
        <v>0</v>
      </c>
    </row>
    <row r="15" spans="1:2" x14ac:dyDescent="0.3">
      <c r="A15" s="31" t="s">
        <v>70</v>
      </c>
      <c r="B15" s="28">
        <v>7753269.4965694342</v>
      </c>
    </row>
    <row r="16" spans="1:2" x14ac:dyDescent="0.3">
      <c r="A16" s="31" t="s">
        <v>79</v>
      </c>
      <c r="B16" s="28">
        <v>1198412.0124488019</v>
      </c>
    </row>
    <row r="17" spans="1:6" x14ac:dyDescent="0.3">
      <c r="A17" s="31" t="s">
        <v>68</v>
      </c>
      <c r="B17" s="28">
        <v>16157937.472936001</v>
      </c>
    </row>
    <row r="18" spans="1:6" x14ac:dyDescent="0.3">
      <c r="A18" s="31" t="s">
        <v>119</v>
      </c>
      <c r="B18" s="28">
        <v>239478290.80658013</v>
      </c>
    </row>
    <row r="19" spans="1:6" x14ac:dyDescent="0.3">
      <c r="A19" s="31" t="s">
        <v>65</v>
      </c>
      <c r="B19" s="28">
        <v>66341260.716312028</v>
      </c>
    </row>
    <row r="20" spans="1:6" ht="27" x14ac:dyDescent="0.3">
      <c r="A20" s="31" t="s">
        <v>64</v>
      </c>
      <c r="B20" s="28">
        <v>107293817.27368063</v>
      </c>
    </row>
    <row r="21" spans="1:6" x14ac:dyDescent="0.3">
      <c r="A21" s="31" t="s">
        <v>63</v>
      </c>
      <c r="B21" s="30">
        <v>5115480.1137259798</v>
      </c>
    </row>
    <row r="22" spans="1:6" ht="27" x14ac:dyDescent="0.3">
      <c r="A22" s="31" t="s">
        <v>80</v>
      </c>
      <c r="B22" s="28">
        <v>6023674.4825883303</v>
      </c>
    </row>
    <row r="23" spans="1:6" ht="27" x14ac:dyDescent="0.3">
      <c r="A23" s="31" t="s">
        <v>62</v>
      </c>
      <c r="B23" s="30">
        <v>0</v>
      </c>
    </row>
    <row r="24" spans="1:6" x14ac:dyDescent="0.3">
      <c r="A24" s="31" t="s">
        <v>120</v>
      </c>
      <c r="B24" s="28">
        <v>103158970.882835</v>
      </c>
    </row>
    <row r="25" spans="1:6" x14ac:dyDescent="0.3">
      <c r="A25" s="31" t="s">
        <v>108</v>
      </c>
      <c r="B25" s="30">
        <v>38556163.145212397</v>
      </c>
    </row>
    <row r="26" spans="1:6" ht="38.25" x14ac:dyDescent="0.3">
      <c r="A26" s="31" t="s">
        <v>109</v>
      </c>
      <c r="B26" s="30">
        <v>19525091.5961935</v>
      </c>
      <c r="D26" s="33" t="s">
        <v>126</v>
      </c>
      <c r="F26" s="34" t="s">
        <v>127</v>
      </c>
    </row>
    <row r="27" spans="1:6" x14ac:dyDescent="0.3">
      <c r="A27" s="31" t="s">
        <v>121</v>
      </c>
      <c r="B27" s="28">
        <v>0</v>
      </c>
      <c r="D27" s="33">
        <f>B28+B30</f>
        <v>679987917.11452842</v>
      </c>
      <c r="F27">
        <f>SUM(B31:B42)</f>
        <v>2285677726.2747226</v>
      </c>
    </row>
    <row r="28" spans="1:6" x14ac:dyDescent="0.3">
      <c r="A28" s="31" t="s">
        <v>122</v>
      </c>
      <c r="B28" s="28">
        <v>304630488.26227802</v>
      </c>
      <c r="D28">
        <f>B28/D27</f>
        <v>0.44799397253255896</v>
      </c>
    </row>
    <row r="29" spans="1:6" x14ac:dyDescent="0.3">
      <c r="A29" s="31" t="s">
        <v>123</v>
      </c>
      <c r="B29" s="28">
        <v>139932986.32177484</v>
      </c>
    </row>
    <row r="30" spans="1:6" x14ac:dyDescent="0.3">
      <c r="A30" s="31" t="s">
        <v>124</v>
      </c>
      <c r="B30" s="28">
        <v>375357428.85225046</v>
      </c>
      <c r="D30">
        <f>B30/D27</f>
        <v>0.5520060274674411</v>
      </c>
    </row>
    <row r="31" spans="1:6" ht="27" x14ac:dyDescent="0.3">
      <c r="A31" s="31" t="s">
        <v>95</v>
      </c>
      <c r="B31" s="28">
        <v>221452728.58060879</v>
      </c>
      <c r="F31">
        <f>B31/F$27</f>
        <v>9.6887118439719921E-2</v>
      </c>
    </row>
    <row r="32" spans="1:6" x14ac:dyDescent="0.3">
      <c r="A32" s="31" t="s">
        <v>96</v>
      </c>
      <c r="B32" s="28">
        <v>438846997.14232451</v>
      </c>
      <c r="F32">
        <f t="shared" ref="F32:F42" si="0">B32/F$27</f>
        <v>0.19199863222081298</v>
      </c>
    </row>
    <row r="33" spans="1:6" x14ac:dyDescent="0.3">
      <c r="A33" s="31" t="s">
        <v>97</v>
      </c>
      <c r="B33" s="30">
        <v>726738816.98013198</v>
      </c>
      <c r="F33">
        <f t="shared" si="0"/>
        <v>0.31795331801417004</v>
      </c>
    </row>
    <row r="34" spans="1:6" x14ac:dyDescent="0.3">
      <c r="A34" s="31" t="s">
        <v>98</v>
      </c>
      <c r="B34" s="28">
        <v>57382214.09216553</v>
      </c>
      <c r="F34">
        <f t="shared" si="0"/>
        <v>2.5105120215564714E-2</v>
      </c>
    </row>
    <row r="35" spans="1:6" x14ac:dyDescent="0.3">
      <c r="A35" s="31" t="s">
        <v>99</v>
      </c>
      <c r="B35" s="30">
        <v>0</v>
      </c>
      <c r="F35">
        <f t="shared" si="0"/>
        <v>0</v>
      </c>
    </row>
    <row r="36" spans="1:6" x14ac:dyDescent="0.3">
      <c r="A36" s="31" t="s">
        <v>100</v>
      </c>
      <c r="B36" s="28">
        <v>4562314.7784248702</v>
      </c>
      <c r="F36">
        <f t="shared" si="0"/>
        <v>1.9960446418055139E-3</v>
      </c>
    </row>
    <row r="37" spans="1:6" ht="27" x14ac:dyDescent="0.3">
      <c r="A37" s="31" t="s">
        <v>101</v>
      </c>
      <c r="B37" s="28">
        <v>6695585.4558513761</v>
      </c>
      <c r="F37">
        <f t="shared" si="0"/>
        <v>2.9293654914177578E-3</v>
      </c>
    </row>
    <row r="38" spans="1:6" ht="27" x14ac:dyDescent="0.3">
      <c r="A38" s="31" t="s">
        <v>102</v>
      </c>
      <c r="B38" s="28">
        <v>210560442.23619276</v>
      </c>
      <c r="F38">
        <f t="shared" si="0"/>
        <v>9.2121666941809649E-2</v>
      </c>
    </row>
    <row r="39" spans="1:6" x14ac:dyDescent="0.3">
      <c r="A39" s="31" t="s">
        <v>103</v>
      </c>
      <c r="B39" s="30">
        <v>280607586.44911599</v>
      </c>
      <c r="F39">
        <f t="shared" si="0"/>
        <v>0.12276778271207116</v>
      </c>
    </row>
    <row r="40" spans="1:6" x14ac:dyDescent="0.3">
      <c r="A40" s="31" t="s">
        <v>125</v>
      </c>
      <c r="B40" s="28">
        <v>215898077.43748838</v>
      </c>
      <c r="F40">
        <f t="shared" si="0"/>
        <v>9.4456919694171679E-2</v>
      </c>
    </row>
    <row r="41" spans="1:6" x14ac:dyDescent="0.3">
      <c r="A41" s="31" t="s">
        <v>105</v>
      </c>
      <c r="B41" s="28">
        <v>117826097.09542897</v>
      </c>
      <c r="F41">
        <f t="shared" si="0"/>
        <v>5.1549742004734E-2</v>
      </c>
    </row>
    <row r="42" spans="1:6" ht="27" x14ac:dyDescent="0.3">
      <c r="A42" s="32" t="s">
        <v>106</v>
      </c>
      <c r="B42" s="28">
        <v>5106866.0269896695</v>
      </c>
      <c r="F42">
        <f t="shared" si="0"/>
        <v>2.2342896237226837E-3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原始数据</vt:lpstr>
      <vt:lpstr>2022年度数据</vt:lpstr>
      <vt:lpstr>42部门能源消费数据</vt:lpstr>
      <vt:lpstr>2022E</vt:lpstr>
      <vt:lpstr>2020居民消费支出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2026-05-04T03:20:20Z</dcterms:created>
  <dcterms:modified xsi:type="dcterms:W3CDTF">2026-05-04T04:59:20Z</dcterms:modified>
  <cp:category/>
</cp:coreProperties>
</file>